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Supplier Scorecard" sheetId="2" state="visible" r:id="rId4"/>
    <sheet name="Category Breakdown" sheetId="3" state="visible" r:id="rId5"/>
    <sheet name="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102" authorId="0">
      <text>
        <r>
          <rPr>
            <sz val="10"/>
            <rFont val="Arial"/>
            <family val="2"/>
          </rPr>
          <t xml:space="preserve">Data quality flag: Delivery_Date precedes Order_Date. Excluded from lead-time averages on the Supplier Scorecard sheet.</t>
        </r>
      </text>
    </comment>
  </commentList>
</comments>
</file>

<file path=xl/sharedStrings.xml><?xml version="1.0" encoding="utf-8"?>
<sst xmlns="http://schemas.openxmlformats.org/spreadsheetml/2006/main" count="5408" uniqueCount="1464">
  <si>
    <t xml:space="preserve">PO_ID</t>
  </si>
  <si>
    <t xml:space="preserve">Supplier</t>
  </si>
  <si>
    <t xml:space="preserve">Order_Date</t>
  </si>
  <si>
    <t xml:space="preserve">Delivery_Date</t>
  </si>
  <si>
    <t xml:space="preserve">Item_Category</t>
  </si>
  <si>
    <t xml:space="preserve">Order_Status</t>
  </si>
  <si>
    <t xml:space="preserve">Quantity</t>
  </si>
  <si>
    <t xml:space="preserve">Unit_Price</t>
  </si>
  <si>
    <t xml:space="preserve">Negotiated_Price</t>
  </si>
  <si>
    <t xml:space="preserve">Defective_Units</t>
  </si>
  <si>
    <t xml:space="preserve">Compliance</t>
  </si>
  <si>
    <t xml:space="preserve">Lead_Time_Days</t>
  </si>
  <si>
    <t xml:space="preserve">Total_Spend</t>
  </si>
  <si>
    <t xml:space="preserve">Defect_Rate_Pct</t>
  </si>
  <si>
    <t xml:space="preserve">Savings_Pct</t>
  </si>
  <si>
    <t xml:space="preserve">Is_Delivered</t>
  </si>
  <si>
    <t xml:space="preserve">Is_Cancelled</t>
  </si>
  <si>
    <t xml:space="preserve">Is_Compliant</t>
  </si>
  <si>
    <t xml:space="preserve">PO-00001</t>
  </si>
  <si>
    <t xml:space="preserve">Alpha_Inc</t>
  </si>
  <si>
    <t xml:space="preserve">2023-10-17</t>
  </si>
  <si>
    <t xml:space="preserve">2023-10-25</t>
  </si>
  <si>
    <t xml:space="preserve">Office Supplies</t>
  </si>
  <si>
    <t xml:space="preserve">Cancelled</t>
  </si>
  <si>
    <t xml:space="preserve">Yes</t>
  </si>
  <si>
    <t xml:space="preserve">PO-00002</t>
  </si>
  <si>
    <t xml:space="preserve">Delta_Logistics</t>
  </si>
  <si>
    <t xml:space="preserve">2022-04-25</t>
  </si>
  <si>
    <t xml:space="preserve">2022-05-05</t>
  </si>
  <si>
    <t xml:space="preserve">Delivered</t>
  </si>
  <si>
    <t xml:space="preserve">PO-00003</t>
  </si>
  <si>
    <t xml:space="preserve">Gamma_Co</t>
  </si>
  <si>
    <t xml:space="preserve">2022-01-26</t>
  </si>
  <si>
    <t xml:space="preserve">2022-02-15</t>
  </si>
  <si>
    <t xml:space="preserve">MRO</t>
  </si>
  <si>
    <t xml:space="preserve">PO-00004</t>
  </si>
  <si>
    <t xml:space="preserve">Beta_Supplies</t>
  </si>
  <si>
    <t xml:space="preserve">2022-10-09</t>
  </si>
  <si>
    <t xml:space="preserve">2022-10-28</t>
  </si>
  <si>
    <t xml:space="preserve">Packaging</t>
  </si>
  <si>
    <t xml:space="preserve">PO-00005</t>
  </si>
  <si>
    <t xml:space="preserve">2022-09-08</t>
  </si>
  <si>
    <t xml:space="preserve">2022-09-20</t>
  </si>
  <si>
    <t xml:space="preserve">Raw Materials</t>
  </si>
  <si>
    <t xml:space="preserve">No</t>
  </si>
  <si>
    <t xml:space="preserve">PO-00006</t>
  </si>
  <si>
    <t xml:space="preserve">Epsilon_Group</t>
  </si>
  <si>
    <t xml:space="preserve">2022-08-17</t>
  </si>
  <si>
    <t xml:space="preserve">2022-08-29</t>
  </si>
  <si>
    <t xml:space="preserve">PO-00007</t>
  </si>
  <si>
    <t xml:space="preserve">2022-05-23</t>
  </si>
  <si>
    <t xml:space="preserve">2022-06-03</t>
  </si>
  <si>
    <t xml:space="preserve">PO-00008</t>
  </si>
  <si>
    <t xml:space="preserve">2022-04-15</t>
  </si>
  <si>
    <t xml:space="preserve">2022-04-29</t>
  </si>
  <si>
    <t xml:space="preserve">PO-00009</t>
  </si>
  <si>
    <t xml:space="preserve">2023-11-24</t>
  </si>
  <si>
    <t xml:space="preserve">2023-11-28</t>
  </si>
  <si>
    <t xml:space="preserve">Partially Delivered</t>
  </si>
  <si>
    <t xml:space="preserve">PO-00010</t>
  </si>
  <si>
    <t xml:space="preserve">2023-07-13</t>
  </si>
  <si>
    <t xml:space="preserve">2023-07-25</t>
  </si>
  <si>
    <t xml:space="preserve">Pending</t>
  </si>
  <si>
    <t xml:space="preserve">PO-00011</t>
  </si>
  <si>
    <t xml:space="preserve">2022-03-31</t>
  </si>
  <si>
    <t xml:space="preserve">PO-00012</t>
  </si>
  <si>
    <t xml:space="preserve">2023-08-28</t>
  </si>
  <si>
    <t xml:space="preserve">2023-09-11</t>
  </si>
  <si>
    <t xml:space="preserve">PO-00013</t>
  </si>
  <si>
    <t xml:space="preserve">2023-03-09</t>
  </si>
  <si>
    <t xml:space="preserve">2023-03-26</t>
  </si>
  <si>
    <t xml:space="preserve">Electronics</t>
  </si>
  <si>
    <t xml:space="preserve">PO-00014</t>
  </si>
  <si>
    <t xml:space="preserve">2022-02-02</t>
  </si>
  <si>
    <t xml:space="preserve">PO-00015</t>
  </si>
  <si>
    <t xml:space="preserve">2022-01-31</t>
  </si>
  <si>
    <t xml:space="preserve">2022-02-18</t>
  </si>
  <si>
    <t xml:space="preserve">PO-00016</t>
  </si>
  <si>
    <t xml:space="preserve">2022-04-06</t>
  </si>
  <si>
    <t xml:space="preserve">2022-04-21</t>
  </si>
  <si>
    <t xml:space="preserve">PO-00017</t>
  </si>
  <si>
    <t xml:space="preserve">2022-08-12</t>
  </si>
  <si>
    <t xml:space="preserve">2022-08-31</t>
  </si>
  <si>
    <t xml:space="preserve">PO-00018</t>
  </si>
  <si>
    <t xml:space="preserve">2022-08-27</t>
  </si>
  <si>
    <t xml:space="preserve">2022-09-04</t>
  </si>
  <si>
    <t xml:space="preserve">PO-00019</t>
  </si>
  <si>
    <t xml:space="preserve">2023-06-02</t>
  </si>
  <si>
    <t xml:space="preserve">2023-06-05</t>
  </si>
  <si>
    <t xml:space="preserve">PO-00020</t>
  </si>
  <si>
    <t xml:space="preserve">2023-09-09</t>
  </si>
  <si>
    <t xml:space="preserve">2023-09-24</t>
  </si>
  <si>
    <t xml:space="preserve">PO-00021</t>
  </si>
  <si>
    <t xml:space="preserve">2022-01-28</t>
  </si>
  <si>
    <t xml:space="preserve">2022-02-12</t>
  </si>
  <si>
    <t xml:space="preserve">PO-00022</t>
  </si>
  <si>
    <t xml:space="preserve">2023-07-29</t>
  </si>
  <si>
    <t xml:space="preserve">2023-08-11</t>
  </si>
  <si>
    <t xml:space="preserve">PO-00023</t>
  </si>
  <si>
    <t xml:space="preserve">2022-07-23</t>
  </si>
  <si>
    <t xml:space="preserve">2022-08-08</t>
  </si>
  <si>
    <t xml:space="preserve">PO-00024</t>
  </si>
  <si>
    <t xml:space="preserve">2023-10-28</t>
  </si>
  <si>
    <t xml:space="preserve">2023-11-03</t>
  </si>
  <si>
    <t xml:space="preserve">PO-00025</t>
  </si>
  <si>
    <t xml:space="preserve">2023-12-20</t>
  </si>
  <si>
    <t xml:space="preserve">2024-01-01</t>
  </si>
  <si>
    <t xml:space="preserve">PO-00026</t>
  </si>
  <si>
    <t xml:space="preserve">2023-07-24</t>
  </si>
  <si>
    <t xml:space="preserve">PO-00027</t>
  </si>
  <si>
    <t xml:space="preserve">2023-03-06</t>
  </si>
  <si>
    <t xml:space="preserve">PO-00028</t>
  </si>
  <si>
    <t xml:space="preserve">2022-08-14</t>
  </si>
  <si>
    <t xml:space="preserve">2022-08-23</t>
  </si>
  <si>
    <t xml:space="preserve">PO-00029</t>
  </si>
  <si>
    <t xml:space="preserve">2023-04-05</t>
  </si>
  <si>
    <t xml:space="preserve">2023-04-22</t>
  </si>
  <si>
    <t xml:space="preserve">PO-00030</t>
  </si>
  <si>
    <t xml:space="preserve">2023-08-27</t>
  </si>
  <si>
    <t xml:space="preserve">PO-00031</t>
  </si>
  <si>
    <t xml:space="preserve">2022-10-12</t>
  </si>
  <si>
    <t xml:space="preserve">2022-10-26</t>
  </si>
  <si>
    <t xml:space="preserve">PO-00032</t>
  </si>
  <si>
    <t xml:space="preserve">2022-01-07</t>
  </si>
  <si>
    <t xml:space="preserve">2022-01-15</t>
  </si>
  <si>
    <t xml:space="preserve">PO-00033</t>
  </si>
  <si>
    <t xml:space="preserve">2022-06-13</t>
  </si>
  <si>
    <t xml:space="preserve">2022-06-29</t>
  </si>
  <si>
    <t xml:space="preserve">PO-00034</t>
  </si>
  <si>
    <t xml:space="preserve">2023-12-16</t>
  </si>
  <si>
    <t xml:space="preserve">2023-12-17</t>
  </si>
  <si>
    <t xml:space="preserve">PO-00035</t>
  </si>
  <si>
    <t xml:space="preserve">2023-03-17</t>
  </si>
  <si>
    <t xml:space="preserve">PO-00036</t>
  </si>
  <si>
    <t xml:space="preserve">2022-12-15</t>
  </si>
  <si>
    <t xml:space="preserve">2022-12-23</t>
  </si>
  <si>
    <t xml:space="preserve">PO-00037</t>
  </si>
  <si>
    <t xml:space="preserve">2022-10-31</t>
  </si>
  <si>
    <t xml:space="preserve">PO-00038</t>
  </si>
  <si>
    <t xml:space="preserve">2022-06-09</t>
  </si>
  <si>
    <t xml:space="preserve">2022-06-27</t>
  </si>
  <si>
    <t xml:space="preserve">PO-00039</t>
  </si>
  <si>
    <t xml:space="preserve">2022-08-09</t>
  </si>
  <si>
    <t xml:space="preserve">PO-00040</t>
  </si>
  <si>
    <t xml:space="preserve">2022-12-11</t>
  </si>
  <si>
    <t xml:space="preserve">PO-00041</t>
  </si>
  <si>
    <t xml:space="preserve">2022-04-27</t>
  </si>
  <si>
    <t xml:space="preserve">PO-00042</t>
  </si>
  <si>
    <t xml:space="preserve">2022-04-05</t>
  </si>
  <si>
    <t xml:space="preserve">2022-04-14</t>
  </si>
  <si>
    <t xml:space="preserve">PO-00043</t>
  </si>
  <si>
    <t xml:space="preserve">2023-01-25</t>
  </si>
  <si>
    <t xml:space="preserve">2023-02-02</t>
  </si>
  <si>
    <t xml:space="preserve">PO-00044</t>
  </si>
  <si>
    <t xml:space="preserve">2022-04-10</t>
  </si>
  <si>
    <t xml:space="preserve">2022-04-17</t>
  </si>
  <si>
    <t xml:space="preserve">PO-00045</t>
  </si>
  <si>
    <t xml:space="preserve">2023-01-03</t>
  </si>
  <si>
    <t xml:space="preserve">2023-01-21</t>
  </si>
  <si>
    <t xml:space="preserve">PO-00046</t>
  </si>
  <si>
    <t xml:space="preserve">2022-12-19</t>
  </si>
  <si>
    <t xml:space="preserve">PO-00047</t>
  </si>
  <si>
    <t xml:space="preserve">2023-09-18</t>
  </si>
  <si>
    <t xml:space="preserve">PO-00048</t>
  </si>
  <si>
    <t xml:space="preserve">2022-09-28</t>
  </si>
  <si>
    <t xml:space="preserve">2022-10-14</t>
  </si>
  <si>
    <t xml:space="preserve">PO-00049</t>
  </si>
  <si>
    <t xml:space="preserve">2022-02-14</t>
  </si>
  <si>
    <t xml:space="preserve">2022-03-05</t>
  </si>
  <si>
    <t xml:space="preserve">PO-00050</t>
  </si>
  <si>
    <t xml:space="preserve">2023-04-16</t>
  </si>
  <si>
    <t xml:space="preserve">PO-00051</t>
  </si>
  <si>
    <t xml:space="preserve">2023-07-04</t>
  </si>
  <si>
    <t xml:space="preserve">2023-07-14</t>
  </si>
  <si>
    <t xml:space="preserve">PO-00052</t>
  </si>
  <si>
    <t xml:space="preserve">2022-05-08</t>
  </si>
  <si>
    <t xml:space="preserve">PO-00053</t>
  </si>
  <si>
    <t xml:space="preserve">2023-01-23</t>
  </si>
  <si>
    <t xml:space="preserve">PO-00054</t>
  </si>
  <si>
    <t xml:space="preserve">2022-03-22</t>
  </si>
  <si>
    <t xml:space="preserve">2022-03-28</t>
  </si>
  <si>
    <t xml:space="preserve">PO-00055</t>
  </si>
  <si>
    <t xml:space="preserve">2023-07-20</t>
  </si>
  <si>
    <t xml:space="preserve">2023-08-07</t>
  </si>
  <si>
    <t xml:space="preserve">PO-00056</t>
  </si>
  <si>
    <t xml:space="preserve">2022-10-30</t>
  </si>
  <si>
    <t xml:space="preserve">PO-00057</t>
  </si>
  <si>
    <t xml:space="preserve">2023-10-06</t>
  </si>
  <si>
    <t xml:space="preserve">PO-00058</t>
  </si>
  <si>
    <t xml:space="preserve">2023-09-26</t>
  </si>
  <si>
    <t xml:space="preserve">2023-10-01</t>
  </si>
  <si>
    <t xml:space="preserve">PO-00059</t>
  </si>
  <si>
    <t xml:space="preserve">2023-01-06</t>
  </si>
  <si>
    <t xml:space="preserve">2023-01-22</t>
  </si>
  <si>
    <t xml:space="preserve">PO-00060</t>
  </si>
  <si>
    <t xml:space="preserve">2023-08-15</t>
  </si>
  <si>
    <t xml:space="preserve">2023-08-16</t>
  </si>
  <si>
    <t xml:space="preserve">PO-00061</t>
  </si>
  <si>
    <t xml:space="preserve">2022-07-16</t>
  </si>
  <si>
    <t xml:space="preserve">2022-08-01</t>
  </si>
  <si>
    <t xml:space="preserve">PO-00062</t>
  </si>
  <si>
    <t xml:space="preserve">2023-12-23</t>
  </si>
  <si>
    <t xml:space="preserve">2024-01-03</t>
  </si>
  <si>
    <t xml:space="preserve">PO-00063</t>
  </si>
  <si>
    <t xml:space="preserve">2022-03-13</t>
  </si>
  <si>
    <t xml:space="preserve">2022-03-15</t>
  </si>
  <si>
    <t xml:space="preserve">PO-00064</t>
  </si>
  <si>
    <t xml:space="preserve">2022-02-16</t>
  </si>
  <si>
    <t xml:space="preserve">2022-03-04</t>
  </si>
  <si>
    <t xml:space="preserve">PO-00065</t>
  </si>
  <si>
    <t xml:space="preserve">2023-11-09</t>
  </si>
  <si>
    <t xml:space="preserve">2023-11-12</t>
  </si>
  <si>
    <t xml:space="preserve">PO-00066</t>
  </si>
  <si>
    <t xml:space="preserve">2022-08-22</t>
  </si>
  <si>
    <t xml:space="preserve">2022-08-25</t>
  </si>
  <si>
    <t xml:space="preserve">PO-00067</t>
  </si>
  <si>
    <t xml:space="preserve">2022-10-24</t>
  </si>
  <si>
    <t xml:space="preserve">PO-00068</t>
  </si>
  <si>
    <t xml:space="preserve">2022-03-23</t>
  </si>
  <si>
    <t xml:space="preserve">2022-04-11</t>
  </si>
  <si>
    <t xml:space="preserve">PO-00069</t>
  </si>
  <si>
    <t xml:space="preserve">PO-00070</t>
  </si>
  <si>
    <t xml:space="preserve">2022-04-22</t>
  </si>
  <si>
    <t xml:space="preserve">PO-00071</t>
  </si>
  <si>
    <t xml:space="preserve">2023-02-08</t>
  </si>
  <si>
    <t xml:space="preserve">PO-00072</t>
  </si>
  <si>
    <t xml:space="preserve">2022-11-01</t>
  </si>
  <si>
    <t xml:space="preserve">PO-00073</t>
  </si>
  <si>
    <t xml:space="preserve">2023-04-10</t>
  </si>
  <si>
    <t xml:space="preserve">2023-04-27</t>
  </si>
  <si>
    <t xml:space="preserve">PO-00074</t>
  </si>
  <si>
    <t xml:space="preserve">2023-10-13</t>
  </si>
  <si>
    <t xml:space="preserve">PO-00075</t>
  </si>
  <si>
    <t xml:space="preserve">2023-01-09</t>
  </si>
  <si>
    <t xml:space="preserve">2023-01-28</t>
  </si>
  <si>
    <t xml:space="preserve">PO-00076</t>
  </si>
  <si>
    <t xml:space="preserve">2022-06-16</t>
  </si>
  <si>
    <t xml:space="preserve">PO-00077</t>
  </si>
  <si>
    <t xml:space="preserve">2023-01-15</t>
  </si>
  <si>
    <t xml:space="preserve">2023-02-04</t>
  </si>
  <si>
    <t xml:space="preserve">PO-00078</t>
  </si>
  <si>
    <t xml:space="preserve">2022-12-30</t>
  </si>
  <si>
    <t xml:space="preserve">PO-00079</t>
  </si>
  <si>
    <t xml:space="preserve">2022-08-03</t>
  </si>
  <si>
    <t xml:space="preserve">PO-00080</t>
  </si>
  <si>
    <t xml:space="preserve">2023-11-18</t>
  </si>
  <si>
    <t xml:space="preserve">2023-11-25</t>
  </si>
  <si>
    <t xml:space="preserve">PO-00081</t>
  </si>
  <si>
    <t xml:space="preserve">2022-10-01</t>
  </si>
  <si>
    <t xml:space="preserve">2022-10-04</t>
  </si>
  <si>
    <t xml:space="preserve">PO-00082</t>
  </si>
  <si>
    <t xml:space="preserve">2023-12-26</t>
  </si>
  <si>
    <t xml:space="preserve">PO-00083</t>
  </si>
  <si>
    <t xml:space="preserve">2023-12-01</t>
  </si>
  <si>
    <t xml:space="preserve">2023-12-07</t>
  </si>
  <si>
    <t xml:space="preserve">PO-00084</t>
  </si>
  <si>
    <t xml:space="preserve">2023-10-26</t>
  </si>
  <si>
    <t xml:space="preserve">2023-11-10</t>
  </si>
  <si>
    <t xml:space="preserve">PO-00085</t>
  </si>
  <si>
    <t xml:space="preserve">PO-00086</t>
  </si>
  <si>
    <t xml:space="preserve">2023-09-16</t>
  </si>
  <si>
    <t xml:space="preserve">PO-00087</t>
  </si>
  <si>
    <t xml:space="preserve">2023-10-23</t>
  </si>
  <si>
    <t xml:space="preserve">PO-00088</t>
  </si>
  <si>
    <t xml:space="preserve">2022-06-25</t>
  </si>
  <si>
    <t xml:space="preserve">2022-07-10</t>
  </si>
  <si>
    <t xml:space="preserve">PO-00089</t>
  </si>
  <si>
    <t xml:space="preserve">2023-07-01</t>
  </si>
  <si>
    <t xml:space="preserve">2023-07-09</t>
  </si>
  <si>
    <t xml:space="preserve">PO-00090</t>
  </si>
  <si>
    <t xml:space="preserve">PO-00091</t>
  </si>
  <si>
    <t xml:space="preserve">2022-06-17</t>
  </si>
  <si>
    <t xml:space="preserve">2022-07-06</t>
  </si>
  <si>
    <t xml:space="preserve">PO-00092</t>
  </si>
  <si>
    <t xml:space="preserve">2023-04-19</t>
  </si>
  <si>
    <t xml:space="preserve">2023-04-26</t>
  </si>
  <si>
    <t xml:space="preserve">PO-00093</t>
  </si>
  <si>
    <t xml:space="preserve">2023-01-24</t>
  </si>
  <si>
    <t xml:space="preserve">2023-02-11</t>
  </si>
  <si>
    <t xml:space="preserve">PO-00094</t>
  </si>
  <si>
    <t xml:space="preserve">PO-00095</t>
  </si>
  <si>
    <t xml:space="preserve">2023-10-18</t>
  </si>
  <si>
    <t xml:space="preserve">PO-00096</t>
  </si>
  <si>
    <t xml:space="preserve">2023-12-06</t>
  </si>
  <si>
    <t xml:space="preserve">2023-12-09</t>
  </si>
  <si>
    <t xml:space="preserve">PO-00097</t>
  </si>
  <si>
    <t xml:space="preserve">2023-08-04</t>
  </si>
  <si>
    <t xml:space="preserve">PO-00098</t>
  </si>
  <si>
    <t xml:space="preserve">2022-08-13</t>
  </si>
  <si>
    <t xml:space="preserve">2022-09-01</t>
  </si>
  <si>
    <t xml:space="preserve">PO-00099</t>
  </si>
  <si>
    <t xml:space="preserve">2023-12-03</t>
  </si>
  <si>
    <t xml:space="preserve">PO-00100</t>
  </si>
  <si>
    <t xml:space="preserve">2022-11-29</t>
  </si>
  <si>
    <t xml:space="preserve">2022-12-14</t>
  </si>
  <si>
    <t xml:space="preserve">PO-00101</t>
  </si>
  <si>
    <t xml:space="preserve">2022-02-27</t>
  </si>
  <si>
    <t xml:space="preserve">2022-02-22</t>
  </si>
  <si>
    <t xml:space="preserve">PO-00102</t>
  </si>
  <si>
    <t xml:space="preserve">PO-00103</t>
  </si>
  <si>
    <t xml:space="preserve">PO-00104</t>
  </si>
  <si>
    <t xml:space="preserve">2022-11-20</t>
  </si>
  <si>
    <t xml:space="preserve">2022-12-10</t>
  </si>
  <si>
    <t xml:space="preserve">PO-00105</t>
  </si>
  <si>
    <t xml:space="preserve">2023-02-15</t>
  </si>
  <si>
    <t xml:space="preserve">2023-03-01</t>
  </si>
  <si>
    <t xml:space="preserve">PO-00106</t>
  </si>
  <si>
    <t xml:space="preserve">2022-10-02</t>
  </si>
  <si>
    <t xml:space="preserve">2022-10-22</t>
  </si>
  <si>
    <t xml:space="preserve">PO-00107</t>
  </si>
  <si>
    <t xml:space="preserve">2022-03-09</t>
  </si>
  <si>
    <t xml:space="preserve">2022-03-12</t>
  </si>
  <si>
    <t xml:space="preserve">PO-00108</t>
  </si>
  <si>
    <t xml:space="preserve">2022-08-05</t>
  </si>
  <si>
    <t xml:space="preserve">2022-08-24</t>
  </si>
  <si>
    <t xml:space="preserve">PO-00109</t>
  </si>
  <si>
    <t xml:space="preserve">2023-08-05</t>
  </si>
  <si>
    <t xml:space="preserve">PO-00110</t>
  </si>
  <si>
    <t xml:space="preserve">2022-11-19</t>
  </si>
  <si>
    <t xml:space="preserve">PO-00111</t>
  </si>
  <si>
    <t xml:space="preserve">2022-08-06</t>
  </si>
  <si>
    <t xml:space="preserve">2022-08-15</t>
  </si>
  <si>
    <t xml:space="preserve">PO-00112</t>
  </si>
  <si>
    <t xml:space="preserve">PO-00113</t>
  </si>
  <si>
    <t xml:space="preserve">2023-05-27</t>
  </si>
  <si>
    <t xml:space="preserve">2023-06-11</t>
  </si>
  <si>
    <t xml:space="preserve">PO-00114</t>
  </si>
  <si>
    <t xml:space="preserve">2023-02-10</t>
  </si>
  <si>
    <t xml:space="preserve">PO-00115</t>
  </si>
  <si>
    <t xml:space="preserve">2023-10-21</t>
  </si>
  <si>
    <t xml:space="preserve">PO-00116</t>
  </si>
  <si>
    <t xml:space="preserve">2023-04-15</t>
  </si>
  <si>
    <t xml:space="preserve">2023-05-01</t>
  </si>
  <si>
    <t xml:space="preserve">PO-00117</t>
  </si>
  <si>
    <t xml:space="preserve">2022-05-27</t>
  </si>
  <si>
    <t xml:space="preserve">PO-00118</t>
  </si>
  <si>
    <t xml:space="preserve">2022-09-29</t>
  </si>
  <si>
    <t xml:space="preserve">2022-10-13</t>
  </si>
  <si>
    <t xml:space="preserve">PO-00119</t>
  </si>
  <si>
    <t xml:space="preserve">PO-00120</t>
  </si>
  <si>
    <t xml:space="preserve">2022-09-10</t>
  </si>
  <si>
    <t xml:space="preserve">2022-09-21</t>
  </si>
  <si>
    <t xml:space="preserve">PO-00121</t>
  </si>
  <si>
    <t xml:space="preserve">2023-08-14</t>
  </si>
  <si>
    <t xml:space="preserve">PO-00122</t>
  </si>
  <si>
    <t xml:space="preserve">2023-07-06</t>
  </si>
  <si>
    <t xml:space="preserve">2023-07-19</t>
  </si>
  <si>
    <t xml:space="preserve">PO-00123</t>
  </si>
  <si>
    <t xml:space="preserve">2022-09-27</t>
  </si>
  <si>
    <t xml:space="preserve">2022-10-15</t>
  </si>
  <si>
    <t xml:space="preserve">PO-00124</t>
  </si>
  <si>
    <t xml:space="preserve">2023-08-22</t>
  </si>
  <si>
    <t xml:space="preserve">2023-08-25</t>
  </si>
  <si>
    <t xml:space="preserve">PO-00125</t>
  </si>
  <si>
    <t xml:space="preserve">2023-03-15</t>
  </si>
  <si>
    <t xml:space="preserve">PO-00126</t>
  </si>
  <si>
    <t xml:space="preserve">2023-08-21</t>
  </si>
  <si>
    <t xml:space="preserve">2023-09-03</t>
  </si>
  <si>
    <t xml:space="preserve">PO-00127</t>
  </si>
  <si>
    <t xml:space="preserve">2023-02-13</t>
  </si>
  <si>
    <t xml:space="preserve">2023-02-14</t>
  </si>
  <si>
    <t xml:space="preserve">PO-00128</t>
  </si>
  <si>
    <t xml:space="preserve">PO-00129</t>
  </si>
  <si>
    <t xml:space="preserve">PO-00130</t>
  </si>
  <si>
    <t xml:space="preserve">2022-05-22</t>
  </si>
  <si>
    <t xml:space="preserve">PO-00131</t>
  </si>
  <si>
    <t xml:space="preserve">2023-06-06</t>
  </si>
  <si>
    <t xml:space="preserve">2023-06-22</t>
  </si>
  <si>
    <t xml:space="preserve">PO-00132</t>
  </si>
  <si>
    <t xml:space="preserve">2023-05-21</t>
  </si>
  <si>
    <t xml:space="preserve">2023-05-23</t>
  </si>
  <si>
    <t xml:space="preserve">PO-00133</t>
  </si>
  <si>
    <t xml:space="preserve">2022-04-04</t>
  </si>
  <si>
    <t xml:space="preserve">PO-00134</t>
  </si>
  <si>
    <t xml:space="preserve">2022-02-28</t>
  </si>
  <si>
    <t xml:space="preserve">PO-00135</t>
  </si>
  <si>
    <t xml:space="preserve">2022-04-23</t>
  </si>
  <si>
    <t xml:space="preserve">2022-05-09</t>
  </si>
  <si>
    <t xml:space="preserve">PO-00136</t>
  </si>
  <si>
    <t xml:space="preserve">2022-06-06</t>
  </si>
  <si>
    <t xml:space="preserve">2022-06-26</t>
  </si>
  <si>
    <t xml:space="preserve">PO-00137</t>
  </si>
  <si>
    <t xml:space="preserve">2023-10-05</t>
  </si>
  <si>
    <t xml:space="preserve">2023-10-11</t>
  </si>
  <si>
    <t xml:space="preserve">PO-00138</t>
  </si>
  <si>
    <t xml:space="preserve">2022-06-14</t>
  </si>
  <si>
    <t xml:space="preserve">PO-00139</t>
  </si>
  <si>
    <t xml:space="preserve">PO-00140</t>
  </si>
  <si>
    <t xml:space="preserve">2023-03-13</t>
  </si>
  <si>
    <t xml:space="preserve">PO-00141</t>
  </si>
  <si>
    <t xml:space="preserve">2023-09-07</t>
  </si>
  <si>
    <t xml:space="preserve">PO-00142</t>
  </si>
  <si>
    <t xml:space="preserve">2022-03-07</t>
  </si>
  <si>
    <t xml:space="preserve">PO-00143</t>
  </si>
  <si>
    <t xml:space="preserve">2023-01-30</t>
  </si>
  <si>
    <t xml:space="preserve">2023-02-09</t>
  </si>
  <si>
    <t xml:space="preserve">PO-00144</t>
  </si>
  <si>
    <t xml:space="preserve">2023-01-26</t>
  </si>
  <si>
    <t xml:space="preserve">PO-00145</t>
  </si>
  <si>
    <t xml:space="preserve">2023-09-19</t>
  </si>
  <si>
    <t xml:space="preserve">PO-00146</t>
  </si>
  <si>
    <t xml:space="preserve">2023-04-25</t>
  </si>
  <si>
    <t xml:space="preserve">PO-00147</t>
  </si>
  <si>
    <t xml:space="preserve">2023-06-26</t>
  </si>
  <si>
    <t xml:space="preserve">PO-00148</t>
  </si>
  <si>
    <t xml:space="preserve">2022-09-15</t>
  </si>
  <si>
    <t xml:space="preserve">2022-09-22</t>
  </si>
  <si>
    <t xml:space="preserve">PO-00149</t>
  </si>
  <si>
    <t xml:space="preserve">2023-07-21</t>
  </si>
  <si>
    <t xml:space="preserve">PO-00150</t>
  </si>
  <si>
    <t xml:space="preserve">2022-01-12</t>
  </si>
  <si>
    <t xml:space="preserve">2022-01-17</t>
  </si>
  <si>
    <t xml:space="preserve">PO-00151</t>
  </si>
  <si>
    <t xml:space="preserve">PO-00152</t>
  </si>
  <si>
    <t xml:space="preserve">2022-04-28</t>
  </si>
  <si>
    <t xml:space="preserve">2022-05-12</t>
  </si>
  <si>
    <t xml:space="preserve">PO-00153</t>
  </si>
  <si>
    <t xml:space="preserve">2023-11-30</t>
  </si>
  <si>
    <t xml:space="preserve">PO-00154</t>
  </si>
  <si>
    <t xml:space="preserve">2023-07-05</t>
  </si>
  <si>
    <t xml:space="preserve">PO-00155</t>
  </si>
  <si>
    <t xml:space="preserve">2022-10-11</t>
  </si>
  <si>
    <t xml:space="preserve">PO-00156</t>
  </si>
  <si>
    <t xml:space="preserve">2023-10-19</t>
  </si>
  <si>
    <t xml:space="preserve">2023-11-07</t>
  </si>
  <si>
    <t xml:space="preserve">PO-00157</t>
  </si>
  <si>
    <t xml:space="preserve">PO-00158</t>
  </si>
  <si>
    <t xml:space="preserve">2022-04-30</t>
  </si>
  <si>
    <t xml:space="preserve">PO-00159</t>
  </si>
  <si>
    <t xml:space="preserve">2022-11-13</t>
  </si>
  <si>
    <t xml:space="preserve">PO-00160</t>
  </si>
  <si>
    <t xml:space="preserve">2023-03-22</t>
  </si>
  <si>
    <t xml:space="preserve">2023-04-09</t>
  </si>
  <si>
    <t xml:space="preserve">PO-00161</t>
  </si>
  <si>
    <t xml:space="preserve">2022-06-11</t>
  </si>
  <si>
    <t xml:space="preserve">2022-06-24</t>
  </si>
  <si>
    <t xml:space="preserve">PO-00162</t>
  </si>
  <si>
    <t xml:space="preserve">2023-04-21</t>
  </si>
  <si>
    <t xml:space="preserve">PO-00163</t>
  </si>
  <si>
    <t xml:space="preserve">2022-01-04</t>
  </si>
  <si>
    <t xml:space="preserve">PO-00164</t>
  </si>
  <si>
    <t xml:space="preserve">2022-10-05</t>
  </si>
  <si>
    <t xml:space="preserve">PO-00165</t>
  </si>
  <si>
    <t xml:space="preserve">2023-05-28</t>
  </si>
  <si>
    <t xml:space="preserve">PO-00166</t>
  </si>
  <si>
    <t xml:space="preserve">2022-07-02</t>
  </si>
  <si>
    <t xml:space="preserve">2022-07-18</t>
  </si>
  <si>
    <t xml:space="preserve">PO-00167</t>
  </si>
  <si>
    <t xml:space="preserve">2023-06-04</t>
  </si>
  <si>
    <t xml:space="preserve">2023-06-17</t>
  </si>
  <si>
    <t xml:space="preserve">PO-00168</t>
  </si>
  <si>
    <t xml:space="preserve">2022-04-19</t>
  </si>
  <si>
    <t xml:space="preserve">2022-04-24</t>
  </si>
  <si>
    <t xml:space="preserve">PO-00169</t>
  </si>
  <si>
    <t xml:space="preserve">2023-10-03</t>
  </si>
  <si>
    <t xml:space="preserve">PO-00170</t>
  </si>
  <si>
    <t xml:space="preserve">2022-11-02</t>
  </si>
  <si>
    <t xml:space="preserve">2022-11-21</t>
  </si>
  <si>
    <t xml:space="preserve">PO-00171</t>
  </si>
  <si>
    <t xml:space="preserve">PO-00172</t>
  </si>
  <si>
    <t xml:space="preserve">2023-06-19</t>
  </si>
  <si>
    <t xml:space="preserve">PO-00173</t>
  </si>
  <si>
    <t xml:space="preserve">PO-00174</t>
  </si>
  <si>
    <t xml:space="preserve">2022-07-28</t>
  </si>
  <si>
    <t xml:space="preserve">PO-00175</t>
  </si>
  <si>
    <t xml:space="preserve">PO-00176</t>
  </si>
  <si>
    <t xml:space="preserve">2023-01-18</t>
  </si>
  <si>
    <t xml:space="preserve">2023-01-27</t>
  </si>
  <si>
    <t xml:space="preserve">PO-00177</t>
  </si>
  <si>
    <t xml:space="preserve">2022-06-15</t>
  </si>
  <si>
    <t xml:space="preserve">2022-06-28</t>
  </si>
  <si>
    <t xml:space="preserve">PO-00178</t>
  </si>
  <si>
    <t xml:space="preserve">2023-07-07</t>
  </si>
  <si>
    <t xml:space="preserve">2023-07-18</t>
  </si>
  <si>
    <t xml:space="preserve">PO-00179</t>
  </si>
  <si>
    <t xml:space="preserve">2023-06-28</t>
  </si>
  <si>
    <t xml:space="preserve">2023-07-16</t>
  </si>
  <si>
    <t xml:space="preserve">PO-00180</t>
  </si>
  <si>
    <t xml:space="preserve">2022-01-01</t>
  </si>
  <si>
    <t xml:space="preserve">PO-00181</t>
  </si>
  <si>
    <t xml:space="preserve">2023-09-06</t>
  </si>
  <si>
    <t xml:space="preserve">2023-09-22</t>
  </si>
  <si>
    <t xml:space="preserve">PO-00182</t>
  </si>
  <si>
    <t xml:space="preserve">2022-11-28</t>
  </si>
  <si>
    <t xml:space="preserve">2022-11-30</t>
  </si>
  <si>
    <t xml:space="preserve">PO-00183</t>
  </si>
  <si>
    <t xml:space="preserve">2023-05-16</t>
  </si>
  <si>
    <t xml:space="preserve">2023-05-24</t>
  </si>
  <si>
    <t xml:space="preserve">PO-00184</t>
  </si>
  <si>
    <t xml:space="preserve">2022-01-20</t>
  </si>
  <si>
    <t xml:space="preserve">2022-01-30</t>
  </si>
  <si>
    <t xml:space="preserve">PO-00185</t>
  </si>
  <si>
    <t xml:space="preserve">PO-00186</t>
  </si>
  <si>
    <t xml:space="preserve">2023-01-07</t>
  </si>
  <si>
    <t xml:space="preserve">PO-00187</t>
  </si>
  <si>
    <t xml:space="preserve">2022-11-11</t>
  </si>
  <si>
    <t xml:space="preserve">PO-00188</t>
  </si>
  <si>
    <t xml:space="preserve">2022-09-03</t>
  </si>
  <si>
    <t xml:space="preserve">2022-09-07</t>
  </si>
  <si>
    <t xml:space="preserve">PO-00189</t>
  </si>
  <si>
    <t xml:space="preserve">2022-03-01</t>
  </si>
  <si>
    <t xml:space="preserve">2022-03-11</t>
  </si>
  <si>
    <t xml:space="preserve">PO-00190</t>
  </si>
  <si>
    <t xml:space="preserve">PO-00191</t>
  </si>
  <si>
    <t xml:space="preserve">2023-08-06</t>
  </si>
  <si>
    <t xml:space="preserve">PO-00192</t>
  </si>
  <si>
    <t xml:space="preserve">2022-04-03</t>
  </si>
  <si>
    <t xml:space="preserve">PO-00193</t>
  </si>
  <si>
    <t xml:space="preserve">2022-03-29</t>
  </si>
  <si>
    <t xml:space="preserve">PO-00194</t>
  </si>
  <si>
    <t xml:space="preserve">2023-05-13</t>
  </si>
  <si>
    <t xml:space="preserve">2023-06-01</t>
  </si>
  <si>
    <t xml:space="preserve">PO-00195</t>
  </si>
  <si>
    <t xml:space="preserve">2022-03-18</t>
  </si>
  <si>
    <t xml:space="preserve">PO-00196</t>
  </si>
  <si>
    <t xml:space="preserve">2023-06-30</t>
  </si>
  <si>
    <t xml:space="preserve">2023-07-03</t>
  </si>
  <si>
    <t xml:space="preserve">PO-00197</t>
  </si>
  <si>
    <t xml:space="preserve">PO-00198</t>
  </si>
  <si>
    <t xml:space="preserve">2022-05-20</t>
  </si>
  <si>
    <t xml:space="preserve">PO-00199</t>
  </si>
  <si>
    <t xml:space="preserve">2023-11-26</t>
  </si>
  <si>
    <t xml:space="preserve">PO-00200</t>
  </si>
  <si>
    <t xml:space="preserve">2023-05-02</t>
  </si>
  <si>
    <t xml:space="preserve">2023-05-17</t>
  </si>
  <si>
    <t xml:space="preserve">PO-00201</t>
  </si>
  <si>
    <t xml:space="preserve">2023-07-17</t>
  </si>
  <si>
    <t xml:space="preserve">2023-08-01</t>
  </si>
  <si>
    <t xml:space="preserve">PO-00202</t>
  </si>
  <si>
    <t xml:space="preserve">2022-06-19</t>
  </si>
  <si>
    <t xml:space="preserve">2022-06-20</t>
  </si>
  <si>
    <t xml:space="preserve">PO-00203</t>
  </si>
  <si>
    <t xml:space="preserve">PO-00204</t>
  </si>
  <si>
    <t xml:space="preserve">2023-06-25</t>
  </si>
  <si>
    <t xml:space="preserve">PO-00205</t>
  </si>
  <si>
    <t xml:space="preserve">2023-09-14</t>
  </si>
  <si>
    <t xml:space="preserve">2023-09-20</t>
  </si>
  <si>
    <t xml:space="preserve">PO-00206</t>
  </si>
  <si>
    <t xml:space="preserve">2023-03-10</t>
  </si>
  <si>
    <t xml:space="preserve">PO-00207</t>
  </si>
  <si>
    <t xml:space="preserve">PO-00208</t>
  </si>
  <si>
    <t xml:space="preserve">PO-00209</t>
  </si>
  <si>
    <t xml:space="preserve">2023-12-08</t>
  </si>
  <si>
    <t xml:space="preserve">PO-00210</t>
  </si>
  <si>
    <t xml:space="preserve">2022-07-25</t>
  </si>
  <si>
    <t xml:space="preserve">PO-00211</t>
  </si>
  <si>
    <t xml:space="preserve">PO-00212</t>
  </si>
  <si>
    <t xml:space="preserve">2022-11-16</t>
  </si>
  <si>
    <t xml:space="preserve">PO-00213</t>
  </si>
  <si>
    <t xml:space="preserve">2023-03-04</t>
  </si>
  <si>
    <t xml:space="preserve">PO-00214</t>
  </si>
  <si>
    <t xml:space="preserve">2023-11-19</t>
  </si>
  <si>
    <t xml:space="preserve">2023-11-29</t>
  </si>
  <si>
    <t xml:space="preserve">PO-00215</t>
  </si>
  <si>
    <t xml:space="preserve">PO-00216</t>
  </si>
  <si>
    <t xml:space="preserve">2023-01-31</t>
  </si>
  <si>
    <t xml:space="preserve">PO-00217</t>
  </si>
  <si>
    <t xml:space="preserve">2023-03-25</t>
  </si>
  <si>
    <t xml:space="preserve">2023-04-13</t>
  </si>
  <si>
    <t xml:space="preserve">PO-00218</t>
  </si>
  <si>
    <t xml:space="preserve">2023-06-14</t>
  </si>
  <si>
    <t xml:space="preserve">2023-06-16</t>
  </si>
  <si>
    <t xml:space="preserve">PO-00219</t>
  </si>
  <si>
    <t xml:space="preserve">2023-04-08</t>
  </si>
  <si>
    <t xml:space="preserve">PO-00220</t>
  </si>
  <si>
    <t xml:space="preserve">2022-05-04</t>
  </si>
  <si>
    <t xml:space="preserve">2022-05-14</t>
  </si>
  <si>
    <t xml:space="preserve">PO-00221</t>
  </si>
  <si>
    <t xml:space="preserve">2022-09-11</t>
  </si>
  <si>
    <t xml:space="preserve">2022-09-19</t>
  </si>
  <si>
    <t xml:space="preserve">PO-00222</t>
  </si>
  <si>
    <t xml:space="preserve">2022-08-19</t>
  </si>
  <si>
    <t xml:space="preserve">PO-00223</t>
  </si>
  <si>
    <t xml:space="preserve">2022-03-14</t>
  </si>
  <si>
    <t xml:space="preserve">PO-00224</t>
  </si>
  <si>
    <t xml:space="preserve">2022-12-13</t>
  </si>
  <si>
    <t xml:space="preserve">2022-12-18</t>
  </si>
  <si>
    <t xml:space="preserve">PO-00225</t>
  </si>
  <si>
    <t xml:space="preserve">2022-01-22</t>
  </si>
  <si>
    <t xml:space="preserve">2022-01-24</t>
  </si>
  <si>
    <t xml:space="preserve">PO-00226</t>
  </si>
  <si>
    <t xml:space="preserve">2023-08-26</t>
  </si>
  <si>
    <t xml:space="preserve">2023-09-10</t>
  </si>
  <si>
    <t xml:space="preserve">PO-00227</t>
  </si>
  <si>
    <t xml:space="preserve">2023-07-22</t>
  </si>
  <si>
    <t xml:space="preserve">2023-08-03</t>
  </si>
  <si>
    <t xml:space="preserve">PO-00228</t>
  </si>
  <si>
    <t xml:space="preserve">PO-00229</t>
  </si>
  <si>
    <t xml:space="preserve">PO-00230</t>
  </si>
  <si>
    <t xml:space="preserve">2022-08-28</t>
  </si>
  <si>
    <t xml:space="preserve">PO-00231</t>
  </si>
  <si>
    <t xml:space="preserve">2022-01-08</t>
  </si>
  <si>
    <t xml:space="preserve">2022-01-13</t>
  </si>
  <si>
    <t xml:space="preserve">PO-00232</t>
  </si>
  <si>
    <t xml:space="preserve">2022-03-26</t>
  </si>
  <si>
    <t xml:space="preserve">PO-00233</t>
  </si>
  <si>
    <t xml:space="preserve">2024-01-04</t>
  </si>
  <si>
    <t xml:space="preserve">PO-00234</t>
  </si>
  <si>
    <t xml:space="preserve">2023-10-09</t>
  </si>
  <si>
    <t xml:space="preserve">PO-00235</t>
  </si>
  <si>
    <t xml:space="preserve">2022-03-02</t>
  </si>
  <si>
    <t xml:space="preserve">PO-00236</t>
  </si>
  <si>
    <t xml:space="preserve">PO-00237</t>
  </si>
  <si>
    <t xml:space="preserve">PO-00238</t>
  </si>
  <si>
    <t xml:space="preserve">2022-02-13</t>
  </si>
  <si>
    <t xml:space="preserve">PO-00239</t>
  </si>
  <si>
    <t xml:space="preserve">2022-12-05</t>
  </si>
  <si>
    <t xml:space="preserve">2022-12-20</t>
  </si>
  <si>
    <t xml:space="preserve">PO-00240</t>
  </si>
  <si>
    <t xml:space="preserve">PO-00241</t>
  </si>
  <si>
    <t xml:space="preserve">PO-00242</t>
  </si>
  <si>
    <t xml:space="preserve">2022-09-14</t>
  </si>
  <si>
    <t xml:space="preserve">PO-00243</t>
  </si>
  <si>
    <t xml:space="preserve">PO-00244</t>
  </si>
  <si>
    <t xml:space="preserve">2023-11-17</t>
  </si>
  <si>
    <t xml:space="preserve">PO-00245</t>
  </si>
  <si>
    <t xml:space="preserve">2023-05-26</t>
  </si>
  <si>
    <t xml:space="preserve">PO-00246</t>
  </si>
  <si>
    <t xml:space="preserve">2022-08-26</t>
  </si>
  <si>
    <t xml:space="preserve">PO-00247</t>
  </si>
  <si>
    <t xml:space="preserve">PO-00248</t>
  </si>
  <si>
    <t xml:space="preserve">2022-05-16</t>
  </si>
  <si>
    <t xml:space="preserve">2022-05-25</t>
  </si>
  <si>
    <t xml:space="preserve">PO-00249</t>
  </si>
  <si>
    <t xml:space="preserve">2023-08-08</t>
  </si>
  <si>
    <t xml:space="preserve">2023-08-20</t>
  </si>
  <si>
    <t xml:space="preserve">PO-00250</t>
  </si>
  <si>
    <t xml:space="preserve">PO-00251</t>
  </si>
  <si>
    <t xml:space="preserve">2023-04-30</t>
  </si>
  <si>
    <t xml:space="preserve">2023-05-20</t>
  </si>
  <si>
    <t xml:space="preserve">PO-00252</t>
  </si>
  <si>
    <t xml:space="preserve">2022-09-06</t>
  </si>
  <si>
    <t xml:space="preserve">2022-09-24</t>
  </si>
  <si>
    <t xml:space="preserve">PO-00253</t>
  </si>
  <si>
    <t xml:space="preserve">PO-00254</t>
  </si>
  <si>
    <t xml:space="preserve">2023-02-21</t>
  </si>
  <si>
    <t xml:space="preserve">2023-02-24</t>
  </si>
  <si>
    <t xml:space="preserve">PO-00255</t>
  </si>
  <si>
    <t xml:space="preserve">2022-07-14</t>
  </si>
  <si>
    <t xml:space="preserve">2022-07-29</t>
  </si>
  <si>
    <t xml:space="preserve">PO-00256</t>
  </si>
  <si>
    <t xml:space="preserve">2022-04-07</t>
  </si>
  <si>
    <t xml:space="preserve">PO-00257</t>
  </si>
  <si>
    <t xml:space="preserve">PO-00258</t>
  </si>
  <si>
    <t xml:space="preserve">2023-11-06</t>
  </si>
  <si>
    <t xml:space="preserve">2023-11-08</t>
  </si>
  <si>
    <t xml:space="preserve">PO-00259</t>
  </si>
  <si>
    <t xml:space="preserve">2023-03-18</t>
  </si>
  <si>
    <t xml:space="preserve">PO-00260</t>
  </si>
  <si>
    <t xml:space="preserve">2022-12-29</t>
  </si>
  <si>
    <t xml:space="preserve">2023-01-14</t>
  </si>
  <si>
    <t xml:space="preserve">PO-00261</t>
  </si>
  <si>
    <t xml:space="preserve">PO-00262</t>
  </si>
  <si>
    <t xml:space="preserve">2023-02-25</t>
  </si>
  <si>
    <t xml:space="preserve">2023-03-02</t>
  </si>
  <si>
    <t xml:space="preserve">PO-00263</t>
  </si>
  <si>
    <t xml:space="preserve">2023-04-24</t>
  </si>
  <si>
    <t xml:space="preserve">2023-05-06</t>
  </si>
  <si>
    <t xml:space="preserve">PO-00264</t>
  </si>
  <si>
    <t xml:space="preserve">2022-02-25</t>
  </si>
  <si>
    <t xml:space="preserve">PO-00265</t>
  </si>
  <si>
    <t xml:space="preserve">2023-11-21</t>
  </si>
  <si>
    <t xml:space="preserve">PO-00266</t>
  </si>
  <si>
    <t xml:space="preserve">2023-11-01</t>
  </si>
  <si>
    <t xml:space="preserve">2023-11-05</t>
  </si>
  <si>
    <t xml:space="preserve">PO-00267</t>
  </si>
  <si>
    <t xml:space="preserve">2023-10-24</t>
  </si>
  <si>
    <t xml:space="preserve">2023-11-13</t>
  </si>
  <si>
    <t xml:space="preserve">PO-00268</t>
  </si>
  <si>
    <t xml:space="preserve">2022-04-20</t>
  </si>
  <si>
    <t xml:space="preserve">PO-00269</t>
  </si>
  <si>
    <t xml:space="preserve">2022-03-16</t>
  </si>
  <si>
    <t xml:space="preserve">PO-00270</t>
  </si>
  <si>
    <t xml:space="preserve">2023-02-17</t>
  </si>
  <si>
    <t xml:space="preserve">PO-00271</t>
  </si>
  <si>
    <t xml:space="preserve">PO-00272</t>
  </si>
  <si>
    <t xml:space="preserve">2022-04-26</t>
  </si>
  <si>
    <t xml:space="preserve">PO-00273</t>
  </si>
  <si>
    <t xml:space="preserve">2022-09-12</t>
  </si>
  <si>
    <t xml:space="preserve">PO-00274</t>
  </si>
  <si>
    <t xml:space="preserve">PO-00275</t>
  </si>
  <si>
    <t xml:space="preserve">PO-00276</t>
  </si>
  <si>
    <t xml:space="preserve">2023-07-08</t>
  </si>
  <si>
    <t xml:space="preserve">PO-00277</t>
  </si>
  <si>
    <t xml:space="preserve">PO-00278</t>
  </si>
  <si>
    <t xml:space="preserve">2022-05-24</t>
  </si>
  <si>
    <t xml:space="preserve">PO-00279</t>
  </si>
  <si>
    <t xml:space="preserve">2023-03-29</t>
  </si>
  <si>
    <t xml:space="preserve">PO-00280</t>
  </si>
  <si>
    <t xml:space="preserve">2022-07-07</t>
  </si>
  <si>
    <t xml:space="preserve">PO-00281</t>
  </si>
  <si>
    <t xml:space="preserve">PO-00282</t>
  </si>
  <si>
    <t xml:space="preserve">PO-00283</t>
  </si>
  <si>
    <t xml:space="preserve">2022-09-13</t>
  </si>
  <si>
    <t xml:space="preserve">PO-00284</t>
  </si>
  <si>
    <t xml:space="preserve">2022-03-19</t>
  </si>
  <si>
    <t xml:space="preserve">PO-00285</t>
  </si>
  <si>
    <t xml:space="preserve">2023-03-30</t>
  </si>
  <si>
    <t xml:space="preserve">2023-04-06</t>
  </si>
  <si>
    <t xml:space="preserve">PO-00286</t>
  </si>
  <si>
    <t xml:space="preserve">2023-07-26</t>
  </si>
  <si>
    <t xml:space="preserve">PO-00287</t>
  </si>
  <si>
    <t xml:space="preserve">2022-04-16</t>
  </si>
  <si>
    <t xml:space="preserve">PO-00288</t>
  </si>
  <si>
    <t xml:space="preserve">2022-02-21</t>
  </si>
  <si>
    <t xml:space="preserve">PO-00289</t>
  </si>
  <si>
    <t xml:space="preserve">2023-10-30</t>
  </si>
  <si>
    <t xml:space="preserve">2023-11-04</t>
  </si>
  <si>
    <t xml:space="preserve">PO-00290</t>
  </si>
  <si>
    <t xml:space="preserve">PO-00291</t>
  </si>
  <si>
    <t xml:space="preserve">2022-01-16</t>
  </si>
  <si>
    <t xml:space="preserve">PO-00292</t>
  </si>
  <si>
    <t xml:space="preserve">PO-00293</t>
  </si>
  <si>
    <t xml:space="preserve">PO-00294</t>
  </si>
  <si>
    <t xml:space="preserve">PO-00295</t>
  </si>
  <si>
    <t xml:space="preserve">2023-02-22</t>
  </si>
  <si>
    <t xml:space="preserve">PO-00296</t>
  </si>
  <si>
    <t xml:space="preserve">2023-05-15</t>
  </si>
  <si>
    <t xml:space="preserve">PO-00297</t>
  </si>
  <si>
    <t xml:space="preserve">2023-05-08</t>
  </si>
  <si>
    <t xml:space="preserve">2023-05-22</t>
  </si>
  <si>
    <t xml:space="preserve">PO-00298</t>
  </si>
  <si>
    <t xml:space="preserve">2022-08-07</t>
  </si>
  <si>
    <t xml:space="preserve">2022-08-10</t>
  </si>
  <si>
    <t xml:space="preserve">PO-00299</t>
  </si>
  <si>
    <t xml:space="preserve">2023-02-27</t>
  </si>
  <si>
    <t xml:space="preserve">PO-00300</t>
  </si>
  <si>
    <t xml:space="preserve">2022-03-06</t>
  </si>
  <si>
    <t xml:space="preserve">PO-00301</t>
  </si>
  <si>
    <t xml:space="preserve">2022-06-18</t>
  </si>
  <si>
    <t xml:space="preserve">PO-00302</t>
  </si>
  <si>
    <t xml:space="preserve">PO-00303</t>
  </si>
  <si>
    <t xml:space="preserve">2022-01-03</t>
  </si>
  <si>
    <t xml:space="preserve">PO-00304</t>
  </si>
  <si>
    <t xml:space="preserve">2023-02-05</t>
  </si>
  <si>
    <t xml:space="preserve">PO-00305</t>
  </si>
  <si>
    <t xml:space="preserve">PO-00306</t>
  </si>
  <si>
    <t xml:space="preserve">2023-04-11</t>
  </si>
  <si>
    <t xml:space="preserve">PO-00307</t>
  </si>
  <si>
    <t xml:space="preserve">2022-10-20</t>
  </si>
  <si>
    <t xml:space="preserve">2022-11-05</t>
  </si>
  <si>
    <t xml:space="preserve">PO-00308</t>
  </si>
  <si>
    <t xml:space="preserve">PO-00309</t>
  </si>
  <si>
    <t xml:space="preserve">2023-12-15</t>
  </si>
  <si>
    <t xml:space="preserve">2023-12-18</t>
  </si>
  <si>
    <t xml:space="preserve">PO-00310</t>
  </si>
  <si>
    <t xml:space="preserve">PO-00311</t>
  </si>
  <si>
    <t xml:space="preserve">PO-00312</t>
  </si>
  <si>
    <t xml:space="preserve">2023-05-14</t>
  </si>
  <si>
    <t xml:space="preserve">PO-00313</t>
  </si>
  <si>
    <t xml:space="preserve">2022-06-08</t>
  </si>
  <si>
    <t xml:space="preserve">PO-00314</t>
  </si>
  <si>
    <t xml:space="preserve">PO-00315</t>
  </si>
  <si>
    <t xml:space="preserve">2022-11-15</t>
  </si>
  <si>
    <t xml:space="preserve">PO-00316</t>
  </si>
  <si>
    <t xml:space="preserve">2022-08-11</t>
  </si>
  <si>
    <t xml:space="preserve">PO-00317</t>
  </si>
  <si>
    <t xml:space="preserve">PO-00318</t>
  </si>
  <si>
    <t xml:space="preserve">2023-08-17</t>
  </si>
  <si>
    <t xml:space="preserve">2023-09-04</t>
  </si>
  <si>
    <t xml:space="preserve">PO-00319</t>
  </si>
  <si>
    <t xml:space="preserve">2023-07-10</t>
  </si>
  <si>
    <t xml:space="preserve">PO-00320</t>
  </si>
  <si>
    <t xml:space="preserve">PO-00321</t>
  </si>
  <si>
    <t xml:space="preserve">2022-11-18</t>
  </si>
  <si>
    <t xml:space="preserve">2022-12-03</t>
  </si>
  <si>
    <t xml:space="preserve">PO-00322</t>
  </si>
  <si>
    <t xml:space="preserve">PO-00323</t>
  </si>
  <si>
    <t xml:space="preserve">PO-00324</t>
  </si>
  <si>
    <t xml:space="preserve">PO-00325</t>
  </si>
  <si>
    <t xml:space="preserve">2023-05-04</t>
  </si>
  <si>
    <t xml:space="preserve">PO-00326</t>
  </si>
  <si>
    <t xml:space="preserve">2023-05-30</t>
  </si>
  <si>
    <t xml:space="preserve">2023-06-15</t>
  </si>
  <si>
    <t xml:space="preserve">PO-00327</t>
  </si>
  <si>
    <t xml:space="preserve">PO-00328</t>
  </si>
  <si>
    <t xml:space="preserve">PO-00329</t>
  </si>
  <si>
    <t xml:space="preserve">PO-00330</t>
  </si>
  <si>
    <t xml:space="preserve">2023-06-23</t>
  </si>
  <si>
    <t xml:space="preserve">PO-00331</t>
  </si>
  <si>
    <t xml:space="preserve">2022-03-24</t>
  </si>
  <si>
    <t xml:space="preserve">PO-00332</t>
  </si>
  <si>
    <t xml:space="preserve">PO-00333</t>
  </si>
  <si>
    <t xml:space="preserve">PO-00334</t>
  </si>
  <si>
    <t xml:space="preserve">2023-09-02</t>
  </si>
  <si>
    <t xml:space="preserve">PO-00335</t>
  </si>
  <si>
    <t xml:space="preserve">PO-00336</t>
  </si>
  <si>
    <t xml:space="preserve">2023-11-23</t>
  </si>
  <si>
    <t xml:space="preserve">2023-12-05</t>
  </si>
  <si>
    <t xml:space="preserve">PO-00337</t>
  </si>
  <si>
    <t xml:space="preserve">PO-00338</t>
  </si>
  <si>
    <t xml:space="preserve">2023-02-18</t>
  </si>
  <si>
    <t xml:space="preserve">PO-00339</t>
  </si>
  <si>
    <t xml:space="preserve">2022-05-03</t>
  </si>
  <si>
    <t xml:space="preserve">2022-05-07</t>
  </si>
  <si>
    <t xml:space="preserve">PO-00340</t>
  </si>
  <si>
    <t xml:space="preserve">PO-00341</t>
  </si>
  <si>
    <t xml:space="preserve">PO-00342</t>
  </si>
  <si>
    <t xml:space="preserve">2023-08-30</t>
  </si>
  <si>
    <t xml:space="preserve">PO-00343</t>
  </si>
  <si>
    <t xml:space="preserve">2023-09-01</t>
  </si>
  <si>
    <t xml:space="preserve">2023-09-21</t>
  </si>
  <si>
    <t xml:space="preserve">PO-00344</t>
  </si>
  <si>
    <t xml:space="preserve">2022-02-10</t>
  </si>
  <si>
    <t xml:space="preserve">PO-00345</t>
  </si>
  <si>
    <t xml:space="preserve">2023-09-27</t>
  </si>
  <si>
    <t xml:space="preserve">PO-00346</t>
  </si>
  <si>
    <t xml:space="preserve">2022-03-25</t>
  </si>
  <si>
    <t xml:space="preserve">PO-00347</t>
  </si>
  <si>
    <t xml:space="preserve">2023-03-16</t>
  </si>
  <si>
    <t xml:space="preserve">PO-00348</t>
  </si>
  <si>
    <t xml:space="preserve">PO-00349</t>
  </si>
  <si>
    <t xml:space="preserve">PO-00350</t>
  </si>
  <si>
    <t xml:space="preserve">2023-08-02</t>
  </si>
  <si>
    <t xml:space="preserve">PO-00351</t>
  </si>
  <si>
    <t xml:space="preserve">2023-06-20</t>
  </si>
  <si>
    <t xml:space="preserve">PO-00352</t>
  </si>
  <si>
    <t xml:space="preserve">PO-00353</t>
  </si>
  <si>
    <t xml:space="preserve">2022-09-25</t>
  </si>
  <si>
    <t xml:space="preserve">PO-00354</t>
  </si>
  <si>
    <t xml:space="preserve">PO-00355</t>
  </si>
  <si>
    <t xml:space="preserve">PO-00356</t>
  </si>
  <si>
    <t xml:space="preserve">PO-00357</t>
  </si>
  <si>
    <t xml:space="preserve">2022-09-02</t>
  </si>
  <si>
    <t xml:space="preserve">PO-00358</t>
  </si>
  <si>
    <t xml:space="preserve">PO-00359</t>
  </si>
  <si>
    <t xml:space="preserve">PO-00360</t>
  </si>
  <si>
    <t xml:space="preserve">2022-05-15</t>
  </si>
  <si>
    <t xml:space="preserve">2022-05-18</t>
  </si>
  <si>
    <t xml:space="preserve">PO-00361</t>
  </si>
  <si>
    <t xml:space="preserve">PO-00362</t>
  </si>
  <si>
    <t xml:space="preserve">PO-00363</t>
  </si>
  <si>
    <t xml:space="preserve">2022-11-04</t>
  </si>
  <si>
    <t xml:space="preserve">PO-00364</t>
  </si>
  <si>
    <t xml:space="preserve">2023-04-14</t>
  </si>
  <si>
    <t xml:space="preserve">2023-04-18</t>
  </si>
  <si>
    <t xml:space="preserve">PO-00365</t>
  </si>
  <si>
    <t xml:space="preserve">2022-11-24</t>
  </si>
  <si>
    <t xml:space="preserve">PO-00366</t>
  </si>
  <si>
    <t xml:space="preserve">PO-00367</t>
  </si>
  <si>
    <t xml:space="preserve">2022-01-10</t>
  </si>
  <si>
    <t xml:space="preserve">PO-00368</t>
  </si>
  <si>
    <t xml:space="preserve">2023-04-28</t>
  </si>
  <si>
    <t xml:space="preserve">PO-00369</t>
  </si>
  <si>
    <t xml:space="preserve">2023-09-29</t>
  </si>
  <si>
    <t xml:space="preserve">PO-00370</t>
  </si>
  <si>
    <t xml:space="preserve">2023-07-31</t>
  </si>
  <si>
    <t xml:space="preserve">PO-00371</t>
  </si>
  <si>
    <t xml:space="preserve">2022-04-13</t>
  </si>
  <si>
    <t xml:space="preserve">PO-00372</t>
  </si>
  <si>
    <t xml:space="preserve">2022-03-17</t>
  </si>
  <si>
    <t xml:space="preserve">PO-00373</t>
  </si>
  <si>
    <t xml:space="preserve">PO-00374</t>
  </si>
  <si>
    <t xml:space="preserve">2022-08-21</t>
  </si>
  <si>
    <t xml:space="preserve">PO-00375</t>
  </si>
  <si>
    <t xml:space="preserve">2023-06-03</t>
  </si>
  <si>
    <t xml:space="preserve">PO-00376</t>
  </si>
  <si>
    <t xml:space="preserve">2022-10-07</t>
  </si>
  <si>
    <t xml:space="preserve">PO-00377</t>
  </si>
  <si>
    <t xml:space="preserve">2022-05-28</t>
  </si>
  <si>
    <t xml:space="preserve">PO-00378</t>
  </si>
  <si>
    <t xml:space="preserve">2022-12-24</t>
  </si>
  <si>
    <t xml:space="preserve">2022-12-26</t>
  </si>
  <si>
    <t xml:space="preserve">PO-00379</t>
  </si>
  <si>
    <t xml:space="preserve">2022-03-27</t>
  </si>
  <si>
    <t xml:space="preserve">PO-00380</t>
  </si>
  <si>
    <t xml:space="preserve">PO-00381</t>
  </si>
  <si>
    <t xml:space="preserve">PO-00382</t>
  </si>
  <si>
    <t xml:space="preserve">2022-10-19</t>
  </si>
  <si>
    <t xml:space="preserve">PO-00383</t>
  </si>
  <si>
    <t xml:space="preserve">PO-00384</t>
  </si>
  <si>
    <t xml:space="preserve">2023-04-07</t>
  </si>
  <si>
    <t xml:space="preserve">PO-00385</t>
  </si>
  <si>
    <t xml:space="preserve">2023-07-11</t>
  </si>
  <si>
    <t xml:space="preserve">PO-00386</t>
  </si>
  <si>
    <t xml:space="preserve">2023-12-22</t>
  </si>
  <si>
    <t xml:space="preserve">2024-01-11</t>
  </si>
  <si>
    <t xml:space="preserve">PO-00387</t>
  </si>
  <si>
    <t xml:space="preserve">2022-11-06</t>
  </si>
  <si>
    <t xml:space="preserve">PO-00388</t>
  </si>
  <si>
    <t xml:space="preserve">2023-09-23</t>
  </si>
  <si>
    <t xml:space="preserve">PO-00389</t>
  </si>
  <si>
    <t xml:space="preserve">2023-11-20</t>
  </si>
  <si>
    <t xml:space="preserve">PO-00390</t>
  </si>
  <si>
    <t xml:space="preserve">2023-06-29</t>
  </si>
  <si>
    <t xml:space="preserve">PO-00391</t>
  </si>
  <si>
    <t xml:space="preserve">2022-01-09</t>
  </si>
  <si>
    <t xml:space="preserve">2022-01-19</t>
  </si>
  <si>
    <t xml:space="preserve">PO-00392</t>
  </si>
  <si>
    <t xml:space="preserve">2023-11-15</t>
  </si>
  <si>
    <t xml:space="preserve">PO-00393</t>
  </si>
  <si>
    <t xml:space="preserve">2023-07-28</t>
  </si>
  <si>
    <t xml:space="preserve">PO-00394</t>
  </si>
  <si>
    <t xml:space="preserve">2022-11-03</t>
  </si>
  <si>
    <t xml:space="preserve">2022-11-07</t>
  </si>
  <si>
    <t xml:space="preserve">PO-00395</t>
  </si>
  <si>
    <t xml:space="preserve">2023-11-11</t>
  </si>
  <si>
    <t xml:space="preserve">PO-00396</t>
  </si>
  <si>
    <t xml:space="preserve">PO-00397</t>
  </si>
  <si>
    <t xml:space="preserve">PO-00398</t>
  </si>
  <si>
    <t xml:space="preserve">2022-10-03</t>
  </si>
  <si>
    <t xml:space="preserve">PO-00399</t>
  </si>
  <si>
    <t xml:space="preserve">PO-00400</t>
  </si>
  <si>
    <t xml:space="preserve">PO-00401</t>
  </si>
  <si>
    <t xml:space="preserve">PO-00402</t>
  </si>
  <si>
    <t xml:space="preserve">PO-00403</t>
  </si>
  <si>
    <t xml:space="preserve">2022-10-06</t>
  </si>
  <si>
    <t xml:space="preserve">2022-10-21</t>
  </si>
  <si>
    <t xml:space="preserve">PO-00404</t>
  </si>
  <si>
    <t xml:space="preserve">2022-10-16</t>
  </si>
  <si>
    <t xml:space="preserve">PO-00405</t>
  </si>
  <si>
    <t xml:space="preserve">2023-09-12</t>
  </si>
  <si>
    <t xml:space="preserve">2023-10-02</t>
  </si>
  <si>
    <t xml:space="preserve">PO-00406</t>
  </si>
  <si>
    <t xml:space="preserve">2022-08-04</t>
  </si>
  <si>
    <t xml:space="preserve">PO-00407</t>
  </si>
  <si>
    <t xml:space="preserve">2022-12-21</t>
  </si>
  <si>
    <t xml:space="preserve">PO-00408</t>
  </si>
  <si>
    <t xml:space="preserve">PO-00409</t>
  </si>
  <si>
    <t xml:space="preserve">2023-12-24</t>
  </si>
  <si>
    <t xml:space="preserve">PO-00410</t>
  </si>
  <si>
    <t xml:space="preserve">2023-10-12</t>
  </si>
  <si>
    <t xml:space="preserve">2023-10-29</t>
  </si>
  <si>
    <t xml:space="preserve">PO-00411</t>
  </si>
  <si>
    <t xml:space="preserve">PO-00412</t>
  </si>
  <si>
    <t xml:space="preserve">PO-00413</t>
  </si>
  <si>
    <t xml:space="preserve">PO-00414</t>
  </si>
  <si>
    <t xml:space="preserve">2022-09-18</t>
  </si>
  <si>
    <t xml:space="preserve">PO-00415</t>
  </si>
  <si>
    <t xml:space="preserve">PO-00416</t>
  </si>
  <si>
    <t xml:space="preserve">PO-00417</t>
  </si>
  <si>
    <t xml:space="preserve">2023-10-14</t>
  </si>
  <si>
    <t xml:space="preserve">PO-00418</t>
  </si>
  <si>
    <t xml:space="preserve">PO-00419</t>
  </si>
  <si>
    <t xml:space="preserve">PO-00420</t>
  </si>
  <si>
    <t xml:space="preserve">PO-00421</t>
  </si>
  <si>
    <t xml:space="preserve">2022-01-06</t>
  </si>
  <si>
    <t xml:space="preserve">PO-00422</t>
  </si>
  <si>
    <t xml:space="preserve">2022-12-08</t>
  </si>
  <si>
    <t xml:space="preserve">PO-00423</t>
  </si>
  <si>
    <t xml:space="preserve">PO-00424</t>
  </si>
  <si>
    <t xml:space="preserve">2023-10-15</t>
  </si>
  <si>
    <t xml:space="preserve">PO-00425</t>
  </si>
  <si>
    <t xml:space="preserve">2022-09-26</t>
  </si>
  <si>
    <t xml:space="preserve">PO-00426</t>
  </si>
  <si>
    <t xml:space="preserve">PO-00427</t>
  </si>
  <si>
    <t xml:space="preserve">PO-00428</t>
  </si>
  <si>
    <t xml:space="preserve">PO-00429</t>
  </si>
  <si>
    <t xml:space="preserve">PO-00430</t>
  </si>
  <si>
    <t xml:space="preserve">2023-03-14</t>
  </si>
  <si>
    <t xml:space="preserve">PO-00431</t>
  </si>
  <si>
    <t xml:space="preserve">PO-00432</t>
  </si>
  <si>
    <t xml:space="preserve">2022-01-21</t>
  </si>
  <si>
    <t xml:space="preserve">PO-00433</t>
  </si>
  <si>
    <t xml:space="preserve">PO-00434</t>
  </si>
  <si>
    <t xml:space="preserve">2022-04-01</t>
  </si>
  <si>
    <t xml:space="preserve">PO-00435</t>
  </si>
  <si>
    <t xml:space="preserve">2023-12-29</t>
  </si>
  <si>
    <t xml:space="preserve">PO-00436</t>
  </si>
  <si>
    <t xml:space="preserve">2022-06-02</t>
  </si>
  <si>
    <t xml:space="preserve">PO-00437</t>
  </si>
  <si>
    <t xml:space="preserve">PO-00438</t>
  </si>
  <si>
    <t xml:space="preserve">2022-02-06</t>
  </si>
  <si>
    <t xml:space="preserve">PO-00439</t>
  </si>
  <si>
    <t xml:space="preserve">PO-00440</t>
  </si>
  <si>
    <t xml:space="preserve">2023-08-23</t>
  </si>
  <si>
    <t xml:space="preserve">PO-00441</t>
  </si>
  <si>
    <t xml:space="preserve">PO-00442</t>
  </si>
  <si>
    <t xml:space="preserve">2022-06-01</t>
  </si>
  <si>
    <t xml:space="preserve">2022-06-12</t>
  </si>
  <si>
    <t xml:space="preserve">PO-00443</t>
  </si>
  <si>
    <t xml:space="preserve">2023-04-03</t>
  </si>
  <si>
    <t xml:space="preserve">PO-00444</t>
  </si>
  <si>
    <t xml:space="preserve">2022-05-11</t>
  </si>
  <si>
    <t xml:space="preserve">PO-00445</t>
  </si>
  <si>
    <t xml:space="preserve">PO-00446</t>
  </si>
  <si>
    <t xml:space="preserve">2022-11-12</t>
  </si>
  <si>
    <t xml:space="preserve">PO-00447</t>
  </si>
  <si>
    <t xml:space="preserve">PO-00448</t>
  </si>
  <si>
    <t xml:space="preserve">2022-02-26</t>
  </si>
  <si>
    <t xml:space="preserve">PO-00449</t>
  </si>
  <si>
    <t xml:space="preserve">2023-01-02</t>
  </si>
  <si>
    <t xml:space="preserve">PO-00450</t>
  </si>
  <si>
    <t xml:space="preserve">PO-00451</t>
  </si>
  <si>
    <t xml:space="preserve">2023-12-04</t>
  </si>
  <si>
    <t xml:space="preserve">PO-00452</t>
  </si>
  <si>
    <t xml:space="preserve">PO-00453</t>
  </si>
  <si>
    <t xml:space="preserve">2023-11-14</t>
  </si>
  <si>
    <t xml:space="preserve">PO-00454</t>
  </si>
  <si>
    <t xml:space="preserve">PO-00455</t>
  </si>
  <si>
    <t xml:space="preserve">PO-00456</t>
  </si>
  <si>
    <t xml:space="preserve">2023-08-10</t>
  </si>
  <si>
    <t xml:space="preserve">PO-00457</t>
  </si>
  <si>
    <t xml:space="preserve">PO-00458</t>
  </si>
  <si>
    <t xml:space="preserve">2023-09-28</t>
  </si>
  <si>
    <t xml:space="preserve">PO-00459</t>
  </si>
  <si>
    <t xml:space="preserve">PO-00460</t>
  </si>
  <si>
    <t xml:space="preserve">PO-00461</t>
  </si>
  <si>
    <t xml:space="preserve">PO-00462</t>
  </si>
  <si>
    <t xml:space="preserve">2022-07-01</t>
  </si>
  <si>
    <t xml:space="preserve">PO-00463</t>
  </si>
  <si>
    <t xml:space="preserve">PO-00464</t>
  </si>
  <si>
    <t xml:space="preserve">2022-02-03</t>
  </si>
  <si>
    <t xml:space="preserve">PO-00465</t>
  </si>
  <si>
    <t xml:space="preserve">2022-07-03</t>
  </si>
  <si>
    <t xml:space="preserve">2022-07-19</t>
  </si>
  <si>
    <t xml:space="preserve">PO-00466</t>
  </si>
  <si>
    <t xml:space="preserve">2022-12-07</t>
  </si>
  <si>
    <t xml:space="preserve">PO-00467</t>
  </si>
  <si>
    <t xml:space="preserve">2023-02-26</t>
  </si>
  <si>
    <t xml:space="preserve">PO-00468</t>
  </si>
  <si>
    <t xml:space="preserve">PO-00469</t>
  </si>
  <si>
    <t xml:space="preserve">PO-00470</t>
  </si>
  <si>
    <t xml:space="preserve">2022-10-18</t>
  </si>
  <si>
    <t xml:space="preserve">PO-00471</t>
  </si>
  <si>
    <t xml:space="preserve">PO-00472</t>
  </si>
  <si>
    <t xml:space="preserve">2024-01-09</t>
  </si>
  <si>
    <t xml:space="preserve">PO-00473</t>
  </si>
  <si>
    <t xml:space="preserve">PO-00474</t>
  </si>
  <si>
    <t xml:space="preserve">2023-02-12</t>
  </si>
  <si>
    <t xml:space="preserve">PO-00475</t>
  </si>
  <si>
    <t xml:space="preserve">2022-02-09</t>
  </si>
  <si>
    <t xml:space="preserve">PO-00476</t>
  </si>
  <si>
    <t xml:space="preserve">PO-00477</t>
  </si>
  <si>
    <t xml:space="preserve">2022-08-16</t>
  </si>
  <si>
    <t xml:space="preserve">PO-00478</t>
  </si>
  <si>
    <t xml:space="preserve">2022-07-24</t>
  </si>
  <si>
    <t xml:space="preserve">PO-00479</t>
  </si>
  <si>
    <t xml:space="preserve">2023-04-17</t>
  </si>
  <si>
    <t xml:space="preserve">2023-04-23</t>
  </si>
  <si>
    <t xml:space="preserve">PO-00480</t>
  </si>
  <si>
    <t xml:space="preserve">2022-12-25</t>
  </si>
  <si>
    <t xml:space="preserve">2023-01-11</t>
  </si>
  <si>
    <t xml:space="preserve">PO-00481</t>
  </si>
  <si>
    <t xml:space="preserve">2022-11-09</t>
  </si>
  <si>
    <t xml:space="preserve">2022-11-23</t>
  </si>
  <si>
    <t xml:space="preserve">PO-00482</t>
  </si>
  <si>
    <t xml:space="preserve">2022-08-30</t>
  </si>
  <si>
    <t xml:space="preserve">PO-00483</t>
  </si>
  <si>
    <t xml:space="preserve">PO-00484</t>
  </si>
  <si>
    <t xml:space="preserve">2022-01-25</t>
  </si>
  <si>
    <t xml:space="preserve">PO-00485</t>
  </si>
  <si>
    <t xml:space="preserve">PO-00486</t>
  </si>
  <si>
    <t xml:space="preserve">2022-07-17</t>
  </si>
  <si>
    <t xml:space="preserve">PO-00487</t>
  </si>
  <si>
    <t xml:space="preserve">2023-02-16</t>
  </si>
  <si>
    <t xml:space="preserve">PO-00488</t>
  </si>
  <si>
    <t xml:space="preserve">2022-12-04</t>
  </si>
  <si>
    <t xml:space="preserve">PO-00489</t>
  </si>
  <si>
    <t xml:space="preserve">2022-10-17</t>
  </si>
  <si>
    <t xml:space="preserve">PO-00490</t>
  </si>
  <si>
    <t xml:space="preserve">PO-00491</t>
  </si>
  <si>
    <t xml:space="preserve">PO-00492</t>
  </si>
  <si>
    <t xml:space="preserve">PO-00493</t>
  </si>
  <si>
    <t xml:space="preserve">PO-00494</t>
  </si>
  <si>
    <t xml:space="preserve">PO-00495</t>
  </si>
  <si>
    <t xml:space="preserve">PO-00496</t>
  </si>
  <si>
    <t xml:space="preserve">2023-11-27</t>
  </si>
  <si>
    <t xml:space="preserve">PO-00497</t>
  </si>
  <si>
    <t xml:space="preserve">PO-00498</t>
  </si>
  <si>
    <t xml:space="preserve">2022-12-06</t>
  </si>
  <si>
    <t xml:space="preserve">PO-00499</t>
  </si>
  <si>
    <t xml:space="preserve">2022-01-29</t>
  </si>
  <si>
    <t xml:space="preserve">PO-00500</t>
  </si>
  <si>
    <t xml:space="preserve">2022-05-13</t>
  </si>
  <si>
    <t xml:space="preserve">PO-00501</t>
  </si>
  <si>
    <t xml:space="preserve">PO-00502</t>
  </si>
  <si>
    <t xml:space="preserve">PO-00503</t>
  </si>
  <si>
    <t xml:space="preserve">2023-08-18</t>
  </si>
  <si>
    <t xml:space="preserve">PO-00504</t>
  </si>
  <si>
    <t xml:space="preserve">PO-00505</t>
  </si>
  <si>
    <t xml:space="preserve">PO-00506</t>
  </si>
  <si>
    <t xml:space="preserve">PO-00507</t>
  </si>
  <si>
    <t xml:space="preserve">PO-00508</t>
  </si>
  <si>
    <t xml:space="preserve">2023-03-21</t>
  </si>
  <si>
    <t xml:space="preserve">PO-00509</t>
  </si>
  <si>
    <t xml:space="preserve">PO-00510</t>
  </si>
  <si>
    <t xml:space="preserve">PO-00511</t>
  </si>
  <si>
    <t xml:space="preserve">2023-03-23</t>
  </si>
  <si>
    <t xml:space="preserve">2023-03-31</t>
  </si>
  <si>
    <t xml:space="preserve">PO-00512</t>
  </si>
  <si>
    <t xml:space="preserve">2023-09-13</t>
  </si>
  <si>
    <t xml:space="preserve">PO-00513</t>
  </si>
  <si>
    <t xml:space="preserve">2023-06-08</t>
  </si>
  <si>
    <t xml:space="preserve">PO-00514</t>
  </si>
  <si>
    <t xml:space="preserve">PO-00515</t>
  </si>
  <si>
    <t xml:space="preserve">PO-00516</t>
  </si>
  <si>
    <t xml:space="preserve">2023-08-31</t>
  </si>
  <si>
    <t xml:space="preserve">PO-00517</t>
  </si>
  <si>
    <t xml:space="preserve">2022-07-27</t>
  </si>
  <si>
    <t xml:space="preserve">PO-00518</t>
  </si>
  <si>
    <t xml:space="preserve">PO-00519</t>
  </si>
  <si>
    <t xml:space="preserve">PO-00520</t>
  </si>
  <si>
    <t xml:space="preserve">2023-12-27</t>
  </si>
  <si>
    <t xml:space="preserve">2023-12-28</t>
  </si>
  <si>
    <t xml:space="preserve">PO-00521</t>
  </si>
  <si>
    <t xml:space="preserve">PO-00522</t>
  </si>
  <si>
    <t xml:space="preserve">2022-01-02</t>
  </si>
  <si>
    <t xml:space="preserve">PO-00523</t>
  </si>
  <si>
    <t xml:space="preserve">PO-00524</t>
  </si>
  <si>
    <t xml:space="preserve">PO-00525</t>
  </si>
  <si>
    <t xml:space="preserve">2023-12-11</t>
  </si>
  <si>
    <t xml:space="preserve">PO-00526</t>
  </si>
  <si>
    <t xml:space="preserve">PO-00527</t>
  </si>
  <si>
    <t xml:space="preserve">2022-07-21</t>
  </si>
  <si>
    <t xml:space="preserve">PO-00528</t>
  </si>
  <si>
    <t xml:space="preserve">2023-01-08</t>
  </si>
  <si>
    <t xml:space="preserve">PO-00529</t>
  </si>
  <si>
    <t xml:space="preserve">PO-00530</t>
  </si>
  <si>
    <t xml:space="preserve">PO-00531</t>
  </si>
  <si>
    <t xml:space="preserve">PO-00532</t>
  </si>
  <si>
    <t xml:space="preserve">2022-12-12</t>
  </si>
  <si>
    <t xml:space="preserve">PO-00533</t>
  </si>
  <si>
    <t xml:space="preserve">PO-00534</t>
  </si>
  <si>
    <t xml:space="preserve">PO-00535</t>
  </si>
  <si>
    <t xml:space="preserve">PO-00536</t>
  </si>
  <si>
    <t xml:space="preserve">2022-05-10</t>
  </si>
  <si>
    <t xml:space="preserve">PO-00537</t>
  </si>
  <si>
    <t xml:space="preserve">PO-00538</t>
  </si>
  <si>
    <t xml:space="preserve">PO-00539</t>
  </si>
  <si>
    <t xml:space="preserve">PO-00540</t>
  </si>
  <si>
    <t xml:space="preserve">PO-00541</t>
  </si>
  <si>
    <t xml:space="preserve">2023-02-23</t>
  </si>
  <si>
    <t xml:space="preserve">2023-03-08</t>
  </si>
  <si>
    <t xml:space="preserve">PO-00542</t>
  </si>
  <si>
    <t xml:space="preserve">2022-12-01</t>
  </si>
  <si>
    <t xml:space="preserve">PO-00543</t>
  </si>
  <si>
    <t xml:space="preserve">PO-00544</t>
  </si>
  <si>
    <t xml:space="preserve">2023-12-31</t>
  </si>
  <si>
    <t xml:space="preserve">PO-00545</t>
  </si>
  <si>
    <t xml:space="preserve">PO-00546</t>
  </si>
  <si>
    <t xml:space="preserve">PO-00547</t>
  </si>
  <si>
    <t xml:space="preserve">PO-00548</t>
  </si>
  <si>
    <t xml:space="preserve">2022-07-22</t>
  </si>
  <si>
    <t xml:space="preserve">PO-00549</t>
  </si>
  <si>
    <t xml:space="preserve">2023-03-07</t>
  </si>
  <si>
    <t xml:space="preserve">PO-00550</t>
  </si>
  <si>
    <t xml:space="preserve">PO-00551</t>
  </si>
  <si>
    <t xml:space="preserve">2023-02-03</t>
  </si>
  <si>
    <t xml:space="preserve">PO-00552</t>
  </si>
  <si>
    <t xml:space="preserve">PO-00553</t>
  </si>
  <si>
    <t xml:space="preserve">2022-07-13</t>
  </si>
  <si>
    <t xml:space="preserve">PO-00554</t>
  </si>
  <si>
    <t xml:space="preserve">2023-09-25</t>
  </si>
  <si>
    <t xml:space="preserve">PO-00555</t>
  </si>
  <si>
    <t xml:space="preserve">PO-00556</t>
  </si>
  <si>
    <t xml:space="preserve">PO-00557</t>
  </si>
  <si>
    <t xml:space="preserve">2023-02-20</t>
  </si>
  <si>
    <t xml:space="preserve">PO-00558</t>
  </si>
  <si>
    <t xml:space="preserve">PO-00559</t>
  </si>
  <si>
    <t xml:space="preserve">PO-00560</t>
  </si>
  <si>
    <t xml:space="preserve">2022-11-08</t>
  </si>
  <si>
    <t xml:space="preserve">PO-00561</t>
  </si>
  <si>
    <t xml:space="preserve">2022-11-10</t>
  </si>
  <si>
    <t xml:space="preserve">PO-00562</t>
  </si>
  <si>
    <t xml:space="preserve">PO-00563</t>
  </si>
  <si>
    <t xml:space="preserve">2023-03-20</t>
  </si>
  <si>
    <t xml:space="preserve">PO-00564</t>
  </si>
  <si>
    <t xml:space="preserve">2023-08-29</t>
  </si>
  <si>
    <t xml:space="preserve">PO-00565</t>
  </si>
  <si>
    <t xml:space="preserve">PO-00566</t>
  </si>
  <si>
    <t xml:space="preserve">2023-11-02</t>
  </si>
  <si>
    <t xml:space="preserve">PO-00567</t>
  </si>
  <si>
    <t xml:space="preserve">2022-11-26</t>
  </si>
  <si>
    <t xml:space="preserve">PO-00568</t>
  </si>
  <si>
    <t xml:space="preserve">PO-00569</t>
  </si>
  <si>
    <t xml:space="preserve">PO-00570</t>
  </si>
  <si>
    <t xml:space="preserve">PO-00571</t>
  </si>
  <si>
    <t xml:space="preserve">PO-00572</t>
  </si>
  <si>
    <t xml:space="preserve">PO-00573</t>
  </si>
  <si>
    <t xml:space="preserve">PO-00574</t>
  </si>
  <si>
    <t xml:space="preserve">PO-00575</t>
  </si>
  <si>
    <t xml:space="preserve">2022-06-23</t>
  </si>
  <si>
    <t xml:space="preserve">PO-00576</t>
  </si>
  <si>
    <t xml:space="preserve">PO-00577</t>
  </si>
  <si>
    <t xml:space="preserve">PO-00578</t>
  </si>
  <si>
    <t xml:space="preserve">PO-00579</t>
  </si>
  <si>
    <t xml:space="preserve">2023-06-12</t>
  </si>
  <si>
    <t xml:space="preserve">PO-00580</t>
  </si>
  <si>
    <t xml:space="preserve">2023-11-16</t>
  </si>
  <si>
    <t xml:space="preserve">PO-00581</t>
  </si>
  <si>
    <t xml:space="preserve">PO-00582</t>
  </si>
  <si>
    <t xml:space="preserve">PO-00583</t>
  </si>
  <si>
    <t xml:space="preserve">PO-00584</t>
  </si>
  <si>
    <t xml:space="preserve">PO-00585</t>
  </si>
  <si>
    <t xml:space="preserve">PO-00586</t>
  </si>
  <si>
    <t xml:space="preserve">PO-00587</t>
  </si>
  <si>
    <t xml:space="preserve">2022-11-14</t>
  </si>
  <si>
    <t xml:space="preserve">PO-00588</t>
  </si>
  <si>
    <t xml:space="preserve">PO-00589</t>
  </si>
  <si>
    <t xml:space="preserve">PO-00590</t>
  </si>
  <si>
    <t xml:space="preserve">2022-05-31</t>
  </si>
  <si>
    <t xml:space="preserve">2022-06-07</t>
  </si>
  <si>
    <t xml:space="preserve">PO-00591</t>
  </si>
  <si>
    <t xml:space="preserve">PO-00592</t>
  </si>
  <si>
    <t xml:space="preserve">2022-02-17</t>
  </si>
  <si>
    <t xml:space="preserve">PO-00593</t>
  </si>
  <si>
    <t xml:space="preserve">PO-00594</t>
  </si>
  <si>
    <t xml:space="preserve">PO-00595</t>
  </si>
  <si>
    <t xml:space="preserve">PO-00596</t>
  </si>
  <si>
    <t xml:space="preserve">PO-00597</t>
  </si>
  <si>
    <t xml:space="preserve">2023-04-12</t>
  </si>
  <si>
    <t xml:space="preserve">PO-00598</t>
  </si>
  <si>
    <t xml:space="preserve">PO-00599</t>
  </si>
  <si>
    <t xml:space="preserve">2023-10-07</t>
  </si>
  <si>
    <t xml:space="preserve">PO-00600</t>
  </si>
  <si>
    <t xml:space="preserve">2023-08-13</t>
  </si>
  <si>
    <t xml:space="preserve">PO-00601</t>
  </si>
  <si>
    <t xml:space="preserve">2022-07-30</t>
  </si>
  <si>
    <t xml:space="preserve">PO-00602</t>
  </si>
  <si>
    <t xml:space="preserve">2023-12-30</t>
  </si>
  <si>
    <t xml:space="preserve">PO-00603</t>
  </si>
  <si>
    <t xml:space="preserve">2023-01-29</t>
  </si>
  <si>
    <t xml:space="preserve">PO-00604</t>
  </si>
  <si>
    <t xml:space="preserve">2023-06-09</t>
  </si>
  <si>
    <t xml:space="preserve">PO-00605</t>
  </si>
  <si>
    <t xml:space="preserve">PO-00606</t>
  </si>
  <si>
    <t xml:space="preserve">PO-00607</t>
  </si>
  <si>
    <t xml:space="preserve">PO-00608</t>
  </si>
  <si>
    <t xml:space="preserve">PO-00609</t>
  </si>
  <si>
    <t xml:space="preserve">2023-12-12</t>
  </si>
  <si>
    <t xml:space="preserve">PO-00610</t>
  </si>
  <si>
    <t xml:space="preserve">2022-01-14</t>
  </si>
  <si>
    <t xml:space="preserve">PO-00611</t>
  </si>
  <si>
    <t xml:space="preserve">PO-00612</t>
  </si>
  <si>
    <t xml:space="preserve">2023-03-12</t>
  </si>
  <si>
    <t xml:space="preserve">PO-00613</t>
  </si>
  <si>
    <t xml:space="preserve">PO-00614</t>
  </si>
  <si>
    <t xml:space="preserve">2022-06-30</t>
  </si>
  <si>
    <t xml:space="preserve">PO-00615</t>
  </si>
  <si>
    <t xml:space="preserve">2023-12-14</t>
  </si>
  <si>
    <t xml:space="preserve">PO-00616</t>
  </si>
  <si>
    <t xml:space="preserve">2023-06-21</t>
  </si>
  <si>
    <t xml:space="preserve">PO-00617</t>
  </si>
  <si>
    <t xml:space="preserve">2023-05-10</t>
  </si>
  <si>
    <t xml:space="preserve">PO-00618</t>
  </si>
  <si>
    <t xml:space="preserve">PO-00619</t>
  </si>
  <si>
    <t xml:space="preserve">PO-00620</t>
  </si>
  <si>
    <t xml:space="preserve">PO-00621</t>
  </si>
  <si>
    <t xml:space="preserve">2022-05-06</t>
  </si>
  <si>
    <t xml:space="preserve">PO-00622</t>
  </si>
  <si>
    <t xml:space="preserve">PO-00623</t>
  </si>
  <si>
    <t xml:space="preserve">2022-05-17</t>
  </si>
  <si>
    <t xml:space="preserve">PO-00624</t>
  </si>
  <si>
    <t xml:space="preserve">2023-05-05</t>
  </si>
  <si>
    <t xml:space="preserve">PO-00625</t>
  </si>
  <si>
    <t xml:space="preserve">PO-00626</t>
  </si>
  <si>
    <t xml:space="preserve">PO-00627</t>
  </si>
  <si>
    <t xml:space="preserve">2023-07-27</t>
  </si>
  <si>
    <t xml:space="preserve">PO-00628</t>
  </si>
  <si>
    <t xml:space="preserve">2023-09-15</t>
  </si>
  <si>
    <t xml:space="preserve">PO-00629</t>
  </si>
  <si>
    <t xml:space="preserve">PO-00630</t>
  </si>
  <si>
    <t xml:space="preserve">PO-00631</t>
  </si>
  <si>
    <t xml:space="preserve">PO-00632</t>
  </si>
  <si>
    <t xml:space="preserve">PO-00633</t>
  </si>
  <si>
    <t xml:space="preserve">2023-03-24</t>
  </si>
  <si>
    <t xml:space="preserve">PO-00634</t>
  </si>
  <si>
    <t xml:space="preserve">PO-00635</t>
  </si>
  <si>
    <t xml:space="preserve">2023-04-02</t>
  </si>
  <si>
    <t xml:space="preserve">PO-00636</t>
  </si>
  <si>
    <t xml:space="preserve">PO-00637</t>
  </si>
  <si>
    <t xml:space="preserve">PO-00638</t>
  </si>
  <si>
    <t xml:space="preserve">PO-00639</t>
  </si>
  <si>
    <t xml:space="preserve">2022-09-23</t>
  </si>
  <si>
    <t xml:space="preserve">2022-10-08</t>
  </si>
  <si>
    <t xml:space="preserve">PO-00640</t>
  </si>
  <si>
    <t xml:space="preserve">PO-00641</t>
  </si>
  <si>
    <t xml:space="preserve">PO-00642</t>
  </si>
  <si>
    <t xml:space="preserve">PO-00643</t>
  </si>
  <si>
    <t xml:space="preserve">2023-06-18</t>
  </si>
  <si>
    <t xml:space="preserve">2023-07-02</t>
  </si>
  <si>
    <t xml:space="preserve">PO-00644</t>
  </si>
  <si>
    <t xml:space="preserve">2023-05-12</t>
  </si>
  <si>
    <t xml:space="preserve">2023-05-18</t>
  </si>
  <si>
    <t xml:space="preserve">PO-00645</t>
  </si>
  <si>
    <t xml:space="preserve">2023-10-04</t>
  </si>
  <si>
    <t xml:space="preserve">PO-00646</t>
  </si>
  <si>
    <t xml:space="preserve">2022-09-09</t>
  </si>
  <si>
    <t xml:space="preserve">PO-00647</t>
  </si>
  <si>
    <t xml:space="preserve">2022-10-25</t>
  </si>
  <si>
    <t xml:space="preserve">PO-00648</t>
  </si>
  <si>
    <t xml:space="preserve">2023-03-27</t>
  </si>
  <si>
    <t xml:space="preserve">PO-00649</t>
  </si>
  <si>
    <t xml:space="preserve">2022-03-21</t>
  </si>
  <si>
    <t xml:space="preserve">PO-00650</t>
  </si>
  <si>
    <t xml:space="preserve">PO-00651</t>
  </si>
  <si>
    <t xml:space="preserve">PO-00652</t>
  </si>
  <si>
    <t xml:space="preserve">PO-00653</t>
  </si>
  <si>
    <t xml:space="preserve">PO-00654</t>
  </si>
  <si>
    <t xml:space="preserve">PO-00655</t>
  </si>
  <si>
    <t xml:space="preserve">PO-00656</t>
  </si>
  <si>
    <t xml:space="preserve">PO-00657</t>
  </si>
  <si>
    <t xml:space="preserve">PO-00658</t>
  </si>
  <si>
    <t xml:space="preserve">PO-00659</t>
  </si>
  <si>
    <t xml:space="preserve">2022-06-04</t>
  </si>
  <si>
    <t xml:space="preserve">PO-00660</t>
  </si>
  <si>
    <t xml:space="preserve">PO-00661</t>
  </si>
  <si>
    <t xml:space="preserve">PO-00662</t>
  </si>
  <si>
    <t xml:space="preserve">PO-00663</t>
  </si>
  <si>
    <t xml:space="preserve">PO-00664</t>
  </si>
  <si>
    <t xml:space="preserve">2023-12-25</t>
  </si>
  <si>
    <t xml:space="preserve">2024-01-12</t>
  </si>
  <si>
    <t xml:space="preserve">PO-00665</t>
  </si>
  <si>
    <t xml:space="preserve">PO-00666</t>
  </si>
  <si>
    <t xml:space="preserve">PO-00667</t>
  </si>
  <si>
    <t xml:space="preserve">2023-03-05</t>
  </si>
  <si>
    <t xml:space="preserve">PO-00668</t>
  </si>
  <si>
    <t xml:space="preserve">PO-00669</t>
  </si>
  <si>
    <t xml:space="preserve">2022-12-17</t>
  </si>
  <si>
    <t xml:space="preserve">PO-00670</t>
  </si>
  <si>
    <t xml:space="preserve">PO-00671</t>
  </si>
  <si>
    <t xml:space="preserve">PO-00672</t>
  </si>
  <si>
    <t xml:space="preserve">PO-00673</t>
  </si>
  <si>
    <t xml:space="preserve">PO-00674</t>
  </si>
  <si>
    <t xml:space="preserve">2022-07-31</t>
  </si>
  <si>
    <t xml:space="preserve">PO-00675</t>
  </si>
  <si>
    <t xml:space="preserve">PO-00676</t>
  </si>
  <si>
    <t xml:space="preserve">PO-00677</t>
  </si>
  <si>
    <t xml:space="preserve">PO-00678</t>
  </si>
  <si>
    <t xml:space="preserve">PO-00679</t>
  </si>
  <si>
    <t xml:space="preserve">PO-00680</t>
  </si>
  <si>
    <t xml:space="preserve">PO-00681</t>
  </si>
  <si>
    <t xml:space="preserve">PO-00682</t>
  </si>
  <si>
    <t xml:space="preserve">PO-00683</t>
  </si>
  <si>
    <t xml:space="preserve">PO-00684</t>
  </si>
  <si>
    <t xml:space="preserve">2022-12-27</t>
  </si>
  <si>
    <t xml:space="preserve">2022-12-28</t>
  </si>
  <si>
    <t xml:space="preserve">PO-00685</t>
  </si>
  <si>
    <t xml:space="preserve">PO-00686</t>
  </si>
  <si>
    <t xml:space="preserve">PO-00687</t>
  </si>
  <si>
    <t xml:space="preserve">PO-00688</t>
  </si>
  <si>
    <t xml:space="preserve">2023-07-15</t>
  </si>
  <si>
    <t xml:space="preserve">PO-00689</t>
  </si>
  <si>
    <t xml:space="preserve">PO-00690</t>
  </si>
  <si>
    <t xml:space="preserve">PO-00691</t>
  </si>
  <si>
    <t xml:space="preserve">PO-00692</t>
  </si>
  <si>
    <t xml:space="preserve">PO-00693</t>
  </si>
  <si>
    <t xml:space="preserve">PO-00694</t>
  </si>
  <si>
    <t xml:space="preserve">PO-00695</t>
  </si>
  <si>
    <t xml:space="preserve">PO-00696</t>
  </si>
  <si>
    <t xml:space="preserve">PO-00697</t>
  </si>
  <si>
    <t xml:space="preserve">PO-00698</t>
  </si>
  <si>
    <t xml:space="preserve">PO-00699</t>
  </si>
  <si>
    <t xml:space="preserve">PO-00700</t>
  </si>
  <si>
    <t xml:space="preserve">PO-00701</t>
  </si>
  <si>
    <t xml:space="preserve">PO-00702</t>
  </si>
  <si>
    <t xml:space="preserve">2023-02-19</t>
  </si>
  <si>
    <t xml:space="preserve">PO-00703</t>
  </si>
  <si>
    <t xml:space="preserve">PO-00704</t>
  </si>
  <si>
    <t xml:space="preserve">PO-00705</t>
  </si>
  <si>
    <t xml:space="preserve">PO-00706</t>
  </si>
  <si>
    <t xml:space="preserve">2023-09-30</t>
  </si>
  <si>
    <t xml:space="preserve">PO-00707</t>
  </si>
  <si>
    <t xml:space="preserve">PO-00708</t>
  </si>
  <si>
    <t xml:space="preserve">PO-00709</t>
  </si>
  <si>
    <t xml:space="preserve">PO-00710</t>
  </si>
  <si>
    <t xml:space="preserve">2023-09-08</t>
  </si>
  <si>
    <t xml:space="preserve">PO-00711</t>
  </si>
  <si>
    <t xml:space="preserve">PO-00712</t>
  </si>
  <si>
    <t xml:space="preserve">PO-00713</t>
  </si>
  <si>
    <t xml:space="preserve">2022-02-07</t>
  </si>
  <si>
    <t xml:space="preserve">PO-00714</t>
  </si>
  <si>
    <t xml:space="preserve">PO-00715</t>
  </si>
  <si>
    <t xml:space="preserve">PO-00716</t>
  </si>
  <si>
    <t xml:space="preserve">PO-00717</t>
  </si>
  <si>
    <t xml:space="preserve">2022-05-19</t>
  </si>
  <si>
    <t xml:space="preserve">PO-00718</t>
  </si>
  <si>
    <t xml:space="preserve">PO-00719</t>
  </si>
  <si>
    <t xml:space="preserve">PO-00720</t>
  </si>
  <si>
    <t xml:space="preserve">PO-00721</t>
  </si>
  <si>
    <t xml:space="preserve">PO-00722</t>
  </si>
  <si>
    <t xml:space="preserve">PO-00723</t>
  </si>
  <si>
    <t xml:space="preserve">2022-12-02</t>
  </si>
  <si>
    <t xml:space="preserve">PO-00724</t>
  </si>
  <si>
    <t xml:space="preserve">PO-00725</t>
  </si>
  <si>
    <t xml:space="preserve">PO-00726</t>
  </si>
  <si>
    <t xml:space="preserve">PO-00727</t>
  </si>
  <si>
    <t xml:space="preserve">PO-00728</t>
  </si>
  <si>
    <t xml:space="preserve">PO-00729</t>
  </si>
  <si>
    <t xml:space="preserve">PO-00730</t>
  </si>
  <si>
    <t xml:space="preserve">PO-00731</t>
  </si>
  <si>
    <t xml:space="preserve">2022-09-16</t>
  </si>
  <si>
    <t xml:space="preserve">PO-00732</t>
  </si>
  <si>
    <t xml:space="preserve">PO-00733</t>
  </si>
  <si>
    <t xml:space="preserve">PO-00734</t>
  </si>
  <si>
    <t xml:space="preserve">PO-00735</t>
  </si>
  <si>
    <t xml:space="preserve">2023-07-23</t>
  </si>
  <si>
    <t xml:space="preserve">PO-00736</t>
  </si>
  <si>
    <t xml:space="preserve">2022-02-23</t>
  </si>
  <si>
    <t xml:space="preserve">PO-00737</t>
  </si>
  <si>
    <t xml:space="preserve">2023-01-12</t>
  </si>
  <si>
    <t xml:space="preserve">PO-00738</t>
  </si>
  <si>
    <t xml:space="preserve">2022-08-18</t>
  </si>
  <si>
    <t xml:space="preserve">PO-00739</t>
  </si>
  <si>
    <t xml:space="preserve">PO-00740</t>
  </si>
  <si>
    <t xml:space="preserve">PO-00741</t>
  </si>
  <si>
    <t xml:space="preserve">PO-00742</t>
  </si>
  <si>
    <t xml:space="preserve">2022-02-11</t>
  </si>
  <si>
    <t xml:space="preserve">PO-00743</t>
  </si>
  <si>
    <t xml:space="preserve">2022-02-01</t>
  </si>
  <si>
    <t xml:space="preserve">PO-00744</t>
  </si>
  <si>
    <t xml:space="preserve">2022-09-30</t>
  </si>
  <si>
    <t xml:space="preserve">PO-00745</t>
  </si>
  <si>
    <t xml:space="preserve">2022-07-26</t>
  </si>
  <si>
    <t xml:space="preserve">PO-00746</t>
  </si>
  <si>
    <t xml:space="preserve">PO-00747</t>
  </si>
  <si>
    <t xml:space="preserve">PO-00748</t>
  </si>
  <si>
    <t xml:space="preserve">PO-00749</t>
  </si>
  <si>
    <t xml:space="preserve">PO-00750</t>
  </si>
  <si>
    <t xml:space="preserve">PO-00751</t>
  </si>
  <si>
    <t xml:space="preserve">PO-00752</t>
  </si>
  <si>
    <t xml:space="preserve">PO-00753</t>
  </si>
  <si>
    <t xml:space="preserve">PO-00754</t>
  </si>
  <si>
    <t xml:space="preserve">PO-00755</t>
  </si>
  <si>
    <t xml:space="preserve">PO-00756</t>
  </si>
  <si>
    <t xml:space="preserve">2023-05-03</t>
  </si>
  <si>
    <t xml:space="preserve">PO-00757</t>
  </si>
  <si>
    <t xml:space="preserve">2024-01-05</t>
  </si>
  <si>
    <t xml:space="preserve">PO-00758</t>
  </si>
  <si>
    <t xml:space="preserve">PO-00759</t>
  </si>
  <si>
    <t xml:space="preserve">2023-01-13</t>
  </si>
  <si>
    <t xml:space="preserve">PO-00760</t>
  </si>
  <si>
    <t xml:space="preserve">2022-06-21</t>
  </si>
  <si>
    <t xml:space="preserve">PO-00761</t>
  </si>
  <si>
    <t xml:space="preserve">PO-00762</t>
  </si>
  <si>
    <t xml:space="preserve">PO-00763</t>
  </si>
  <si>
    <t xml:space="preserve">PO-00764</t>
  </si>
  <si>
    <t xml:space="preserve">PO-00765</t>
  </si>
  <si>
    <t xml:space="preserve">2022-11-22</t>
  </si>
  <si>
    <t xml:space="preserve">PO-00766</t>
  </si>
  <si>
    <t xml:space="preserve">PO-00767</t>
  </si>
  <si>
    <t xml:space="preserve">PO-00768</t>
  </si>
  <si>
    <t xml:space="preserve">2022-01-27</t>
  </si>
  <si>
    <t xml:space="preserve">PO-00769</t>
  </si>
  <si>
    <t xml:space="preserve">PO-00770</t>
  </si>
  <si>
    <t xml:space="preserve">PO-00771</t>
  </si>
  <si>
    <t xml:space="preserve">PO-00772</t>
  </si>
  <si>
    <t xml:space="preserve">2023-01-20</t>
  </si>
  <si>
    <t xml:space="preserve">PO-00773</t>
  </si>
  <si>
    <t xml:space="preserve">PO-00774</t>
  </si>
  <si>
    <t xml:space="preserve">PO-00775</t>
  </si>
  <si>
    <t xml:space="preserve">PO-00776</t>
  </si>
  <si>
    <t xml:space="preserve">PO-00777</t>
  </si>
  <si>
    <t xml:space="preserve">Supplier Risk &amp; Performance Scorecard</t>
  </si>
  <si>
    <t xml:space="preserve">Source: Procurement KPI Analysis Dataset (777 POs, 2022-01 to 2024-01). Lead time excludes 1 record with a delivery date preceding its order date (data error).</t>
  </si>
  <si>
    <t xml:space="preserve">Total POs</t>
  </si>
  <si>
    <t xml:space="preserve">Total Spend</t>
  </si>
  <si>
    <t xml:space="preserve">Avg Lead Time (days)</t>
  </si>
  <si>
    <t xml:space="preserve">Lead Time Std Dev</t>
  </si>
  <si>
    <t xml:space="preserve">CV Lead Time (%)</t>
  </si>
  <si>
    <t xml:space="preserve">Cancellation Rate (%)</t>
  </si>
  <si>
    <t xml:space="preserve">Avg Defect Rate (%)</t>
  </si>
  <si>
    <t xml:space="preserve">Compliance Rate (%)</t>
  </si>
  <si>
    <t xml:space="preserve">Avg Savings (%)</t>
  </si>
  <si>
    <t xml:space="preserve">Delivery Risk</t>
  </si>
  <si>
    <t xml:space="preserve">Quality Risk</t>
  </si>
  <si>
    <t xml:space="preserve">Impact Score</t>
  </si>
  <si>
    <t xml:space="preserve">Risk Score</t>
  </si>
  <si>
    <t xml:space="preserve">Risk Category</t>
  </si>
  <si>
    <t xml:space="preserve">Spend &amp; Performance by Item Category</t>
  </si>
  <si>
    <t xml:space="preserve">Item Category</t>
  </si>
  <si>
    <t xml:space="preserve">Spend Share (%)</t>
  </si>
  <si>
    <t xml:space="preserve">Procurement KPI Dashboard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</si>
</sst>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\$#,##0.00"/>
    <numFmt numFmtId="167" formatCode="0.0\%"/>
    <numFmt numFmtId="168" formatCode="General"/>
    <numFmt numFmtId="169" formatCode="\$#,##0"/>
    <numFmt numFmtId="170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  <font>
      <b val="true"/>
      <sz val="14"/>
      <color rgb="FF1F4E7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Risk Score by Supplier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'Supplier Scorecard'!N4</c:f>
              <c:strCache>
                <c:ptCount val="1"/>
                <c:pt idx="0">
                  <c:v>Risk Score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'Supplier Scorecard'!$A$5:$A$9</c:f>
              <c:strCache>
                <c:ptCount val="5"/>
                <c:pt idx="0">
                  <c:v>Alpha_Inc</c:v>
                </c:pt>
                <c:pt idx="1">
                  <c:v>Beta_Supplies</c:v>
                </c:pt>
                <c:pt idx="2">
                  <c:v>Delta_Logistics</c:v>
                </c:pt>
                <c:pt idx="3">
                  <c:v>Epsilon_Group</c:v>
                </c:pt>
                <c:pt idx="4">
                  <c:v>Gamma_Co</c:v>
                </c:pt>
              </c:strCache>
            </c:strRef>
          </c:cat>
          <c:val>
            <c:numRef>
              <c:f>'Supplier Scorecard'!$N$5:$N$9</c:f>
              <c:numCache>
                <c:formatCode>0.0</c:formatCode>
                <c:ptCount val="5"/>
                <c:pt idx="0">
                  <c:v>21.5751678321893</c:v>
                </c:pt>
                <c:pt idx="1">
                  <c:v>59.3973715766812</c:v>
                </c:pt>
                <c:pt idx="2">
                  <c:v>78.7512671724782</c:v>
                </c:pt>
                <c:pt idx="3">
                  <c:v>56.8440059428189</c:v>
                </c:pt>
                <c:pt idx="4">
                  <c:v>28.508802081778</c:v>
                </c:pt>
              </c:numCache>
            </c:numRef>
          </c:val>
        </c:ser>
        <c:gapWidth val="150"/>
        <c:overlap val="0"/>
        <c:axId val="74344862"/>
        <c:axId val="56029303"/>
      </c:barChart>
      <c:catAx>
        <c:axId val="743448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029303"/>
        <c:crosses val="autoZero"/>
        <c:auto val="1"/>
        <c:lblAlgn val="ctr"/>
        <c:lblOffset val="100"/>
        <c:noMultiLvlLbl val="0"/>
      </c:catAx>
      <c:valAx>
        <c:axId val="560293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Risk Score (0-100)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3448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Spend by Supplier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'Supplier Scorecard'!C4</c:f>
              <c:strCache>
                <c:ptCount val="1"/>
                <c:pt idx="0">
                  <c:v>Total Spend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'Supplier Scorecard'!$A$5:$A$9</c:f>
              <c:strCache>
                <c:ptCount val="5"/>
                <c:pt idx="0">
                  <c:v>Alpha_Inc</c:v>
                </c:pt>
                <c:pt idx="1">
                  <c:v>Beta_Supplies</c:v>
                </c:pt>
                <c:pt idx="2">
                  <c:v>Delta_Logistics</c:v>
                </c:pt>
                <c:pt idx="3">
                  <c:v>Epsilon_Group</c:v>
                </c:pt>
                <c:pt idx="4">
                  <c:v>Gamma_Co</c:v>
                </c:pt>
              </c:strCache>
            </c:strRef>
          </c:cat>
          <c:val>
            <c:numRef>
              <c:f>'Supplier Scorecard'!$C$5:$C$9</c:f>
              <c:numCache>
                <c:formatCode>\$#,##0</c:formatCode>
                <c:ptCount val="5"/>
                <c:pt idx="0">
                  <c:v>7839712.25</c:v>
                </c:pt>
                <c:pt idx="1">
                  <c:v>9858665.9</c:v>
                </c:pt>
                <c:pt idx="2">
                  <c:v>9236240.47</c:v>
                </c:pt>
                <c:pt idx="3">
                  <c:v>9851156.06</c:v>
                </c:pt>
                <c:pt idx="4">
                  <c:v>8587921.71</c:v>
                </c:pt>
              </c:numCache>
            </c:numRef>
          </c:val>
        </c:ser>
        <c:gapWidth val="150"/>
        <c:overlap val="0"/>
        <c:axId val="90714838"/>
        <c:axId val="88416947"/>
      </c:barChart>
      <c:catAx>
        <c:axId val="907148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416947"/>
        <c:crosses val="autoZero"/>
        <c:auto val="1"/>
        <c:lblAlgn val="ctr"/>
        <c:lblOffset val="100"/>
        <c:noMultiLvlLbl val="0"/>
      </c:catAx>
      <c:valAx>
        <c:axId val="884169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Spend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7148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Defect Rate (%) by Supplier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'Supplier Scorecard'!H4</c:f>
              <c:strCache>
                <c:ptCount val="1"/>
                <c:pt idx="0">
                  <c:v>Avg Defect Rate (%)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'Supplier Scorecard'!$A$5:$A$9</c:f>
              <c:strCache>
                <c:ptCount val="5"/>
                <c:pt idx="0">
                  <c:v>Alpha_Inc</c:v>
                </c:pt>
                <c:pt idx="1">
                  <c:v>Beta_Supplies</c:v>
                </c:pt>
                <c:pt idx="2">
                  <c:v>Delta_Logistics</c:v>
                </c:pt>
                <c:pt idx="3">
                  <c:v>Epsilon_Group</c:v>
                </c:pt>
                <c:pt idx="4">
                  <c:v>Gamma_Co</c:v>
                </c:pt>
              </c:strCache>
            </c:strRef>
          </c:cat>
          <c:val>
            <c:numRef>
              <c:f>'Supplier Scorecard'!$H$5:$H$9</c:f>
              <c:numCache>
                <c:formatCode>0.0</c:formatCode>
                <c:ptCount val="5"/>
                <c:pt idx="0">
                  <c:v>2.35900240275696</c:v>
                </c:pt>
                <c:pt idx="1">
                  <c:v>9.77638599942566</c:v>
                </c:pt>
                <c:pt idx="2">
                  <c:v>14.6313717733877</c:v>
                </c:pt>
                <c:pt idx="3">
                  <c:v>3.06837326031778</c:v>
                </c:pt>
                <c:pt idx="4">
                  <c:v>5.02459170029382</c:v>
                </c:pt>
              </c:numCache>
            </c:numRef>
          </c:val>
        </c:ser>
        <c:gapWidth val="150"/>
        <c:overlap val="0"/>
        <c:axId val="92389860"/>
        <c:axId val="49301961"/>
      </c:barChart>
      <c:catAx>
        <c:axId val="923898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301961"/>
        <c:crosses val="autoZero"/>
        <c:auto val="1"/>
        <c:lblAlgn val="ctr"/>
        <c:lblOffset val="100"/>
        <c:noMultiLvlLbl val="0"/>
      </c:catAx>
      <c:valAx>
        <c:axId val="493019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Defect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3898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Compliance Rate (%) by Supplier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'Supplier Scorecard'!I4</c:f>
              <c:strCache>
                <c:ptCount val="1"/>
                <c:pt idx="0">
                  <c:v>Compliance Rate (%)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'Supplier Scorecard'!$A$5:$A$9</c:f>
              <c:strCache>
                <c:ptCount val="5"/>
                <c:pt idx="0">
                  <c:v>Alpha_Inc</c:v>
                </c:pt>
                <c:pt idx="1">
                  <c:v>Beta_Supplies</c:v>
                </c:pt>
                <c:pt idx="2">
                  <c:v>Delta_Logistics</c:v>
                </c:pt>
                <c:pt idx="3">
                  <c:v>Epsilon_Group</c:v>
                </c:pt>
                <c:pt idx="4">
                  <c:v>Gamma_Co</c:v>
                </c:pt>
              </c:strCache>
            </c:strRef>
          </c:cat>
          <c:val>
            <c:numRef>
              <c:f>'Supplier Scorecard'!$I$5:$I$9</c:f>
              <c:numCache>
                <c:formatCode>0.0</c:formatCode>
                <c:ptCount val="5"/>
                <c:pt idx="0">
                  <c:v>93.6170212765958</c:v>
                </c:pt>
                <c:pt idx="1">
                  <c:v>75.6410256410256</c:v>
                </c:pt>
                <c:pt idx="2">
                  <c:v>60.8187134502924</c:v>
                </c:pt>
                <c:pt idx="3">
                  <c:v>98.1927710843374</c:v>
                </c:pt>
                <c:pt idx="4">
                  <c:v>86.013986013986</c:v>
                </c:pt>
              </c:numCache>
            </c:numRef>
          </c:val>
        </c:ser>
        <c:gapWidth val="150"/>
        <c:overlap val="0"/>
        <c:axId val="12825808"/>
        <c:axId val="14154768"/>
      </c:barChart>
      <c:catAx>
        <c:axId val="1282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154768"/>
        <c:crosses val="autoZero"/>
        <c:auto val="1"/>
        <c:lblAlgn val="ctr"/>
        <c:lblOffset val="100"/>
        <c:noMultiLvlLbl val="0"/>
      </c:catAx>
      <c:valAx>
        <c:axId val="141547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Compliance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8258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160560</xdr:rowOff>
    </xdr:from>
    <xdr:to>
      <xdr:col>9</xdr:col>
      <xdr:colOff>255960</xdr:colOff>
      <xdr:row>18</xdr:row>
      <xdr:rowOff>161640</xdr:rowOff>
    </xdr:to>
    <xdr:graphicFrame>
      <xdr:nvGraphicFramePr>
        <xdr:cNvPr id="0" name="Chart 1"/>
        <xdr:cNvGraphicFramePr/>
      </xdr:nvGraphicFramePr>
      <xdr:xfrm>
        <a:off x="0" y="38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20</xdr:row>
      <xdr:rowOff>160920</xdr:rowOff>
    </xdr:from>
    <xdr:to>
      <xdr:col>9</xdr:col>
      <xdr:colOff>255960</xdr:colOff>
      <xdr:row>37</xdr:row>
      <xdr:rowOff>162000</xdr:rowOff>
    </xdr:to>
    <xdr:graphicFrame>
      <xdr:nvGraphicFramePr>
        <xdr:cNvPr id="1" name="Chart 2"/>
        <xdr:cNvGraphicFramePr/>
      </xdr:nvGraphicFramePr>
      <xdr:xfrm>
        <a:off x="0" y="4000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1</xdr:row>
      <xdr:rowOff>160560</xdr:rowOff>
    </xdr:from>
    <xdr:to>
      <xdr:col>18</xdr:col>
      <xdr:colOff>256320</xdr:colOff>
      <xdr:row>18</xdr:row>
      <xdr:rowOff>161640</xdr:rowOff>
    </xdr:to>
    <xdr:graphicFrame>
      <xdr:nvGraphicFramePr>
        <xdr:cNvPr id="2" name="Chart 3"/>
        <xdr:cNvGraphicFramePr/>
      </xdr:nvGraphicFramePr>
      <xdr:xfrm>
        <a:off x="5503680" y="38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20</xdr:row>
      <xdr:rowOff>160920</xdr:rowOff>
    </xdr:from>
    <xdr:to>
      <xdr:col>18</xdr:col>
      <xdr:colOff>256320</xdr:colOff>
      <xdr:row>37</xdr:row>
      <xdr:rowOff>162000</xdr:rowOff>
    </xdr:to>
    <xdr:graphicFrame>
      <xdr:nvGraphicFramePr>
        <xdr:cNvPr id="3" name="Chart 4"/>
        <xdr:cNvGraphicFramePr/>
      </xdr:nvGraphicFramePr>
      <xdr:xfrm>
        <a:off x="5503680" y="4000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7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6" min="6" style="0" width="21"/>
    <col collapsed="false" customWidth="true" hidden="false" outlineLevel="0" max="8" min="7" style="0" width="12"/>
    <col collapsed="false" customWidth="true" hidden="false" outlineLevel="0" max="9" min="9" style="0" width="18"/>
    <col collapsed="false" customWidth="true" hidden="false" outlineLevel="0" max="10" min="10" style="0" width="17"/>
    <col collapsed="false" customWidth="true" hidden="false" outlineLevel="0" max="11" min="11" style="0" width="12"/>
    <col collapsed="false" customWidth="true" hidden="false" outlineLevel="0" max="12" min="12" style="0" width="32"/>
    <col collapsed="false" customWidth="true" hidden="false" outlineLevel="0" max="13" min="13" style="0" width="13"/>
    <col collapsed="false" customWidth="true" hidden="false" outlineLevel="0" max="14" min="14" style="0" width="31"/>
    <col collapsed="false" customWidth="true" hidden="false" outlineLevel="0" max="15" min="15" style="0" width="23"/>
    <col collapsed="false" customWidth="true" hidden="false" outlineLevel="0" max="16" min="16" style="0" width="32"/>
    <col collapsed="false" customWidth="true" hidden="false" outlineLevel="0" max="17" min="17" style="0" width="27"/>
    <col collapsed="false" customWidth="true" hidden="false" outlineLevel="0" max="18" min="18" style="0" width="21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0" t="s">
        <v>18</v>
      </c>
      <c r="B2" s="0" t="s">
        <v>19</v>
      </c>
      <c r="C2" s="2" t="s">
        <v>20</v>
      </c>
      <c r="D2" s="2" t="s">
        <v>21</v>
      </c>
      <c r="E2" s="3" t="s">
        <v>22</v>
      </c>
      <c r="F2" s="3" t="s">
        <v>23</v>
      </c>
      <c r="G2" s="0" t="n">
        <v>1176</v>
      </c>
      <c r="H2" s="4" t="n">
        <v>20.13</v>
      </c>
      <c r="I2" s="4" t="n">
        <v>17.81</v>
      </c>
      <c r="K2" s="3" t="s">
        <v>24</v>
      </c>
      <c r="L2" s="3" t="n">
        <f aca="false">IF(D2="","",IF(D2-C2&lt;0,"",D2-C2))</f>
        <v>8</v>
      </c>
      <c r="M2" s="4" t="n">
        <f aca="false">G2*I2</f>
        <v>20944.56</v>
      </c>
      <c r="N2" s="5" t="str">
        <f aca="false">IF(J2="","",J2/G2*100)</f>
        <v/>
      </c>
      <c r="O2" s="5" t="n">
        <f aca="false">(H2-I2)/H2*100</f>
        <v>11.525086934923</v>
      </c>
      <c r="P2" s="3" t="n">
        <f aca="false">IF(OR(F2="Delivered",F2="Partially Delivered"),1,0)</f>
        <v>0</v>
      </c>
      <c r="Q2" s="3" t="n">
        <f aca="false">IF(F2="Cancelled",1,0)</f>
        <v>1</v>
      </c>
      <c r="R2" s="3" t="n">
        <f aca="false">IF(K2="Yes",1,0)</f>
        <v>1</v>
      </c>
    </row>
    <row r="3" customFormat="false" ht="15" hidden="false" customHeight="false" outlineLevel="0" collapsed="false">
      <c r="A3" s="0" t="s">
        <v>25</v>
      </c>
      <c r="B3" s="0" t="s">
        <v>26</v>
      </c>
      <c r="C3" s="2" t="s">
        <v>27</v>
      </c>
      <c r="D3" s="2" t="s">
        <v>28</v>
      </c>
      <c r="E3" s="3" t="s">
        <v>22</v>
      </c>
      <c r="F3" s="3" t="s">
        <v>29</v>
      </c>
      <c r="G3" s="0" t="n">
        <v>1509</v>
      </c>
      <c r="H3" s="4" t="n">
        <v>39.32</v>
      </c>
      <c r="I3" s="4" t="n">
        <v>37.34</v>
      </c>
      <c r="J3" s="0" t="n">
        <v>235</v>
      </c>
      <c r="K3" s="3" t="s">
        <v>24</v>
      </c>
      <c r="L3" s="3" t="n">
        <f aca="false">IF(D3="","",IF(D3-C3&lt;0,"",D3-C3))</f>
        <v>10</v>
      </c>
      <c r="M3" s="4" t="n">
        <f aca="false">G3*I3</f>
        <v>56346.06</v>
      </c>
      <c r="N3" s="5" t="n">
        <f aca="false">IF(J3="","",J3/G3*100)</f>
        <v>15.5732273028496</v>
      </c>
      <c r="O3" s="5" t="n">
        <f aca="false">(H3-I3)/H3*100</f>
        <v>5.03560528992878</v>
      </c>
      <c r="P3" s="3" t="n">
        <f aca="false">IF(OR(F3="Delivered",F3="Partially Delivered"),1,0)</f>
        <v>1</v>
      </c>
      <c r="Q3" s="3" t="n">
        <f aca="false">IF(F3="Cancelled",1,0)</f>
        <v>0</v>
      </c>
      <c r="R3" s="3" t="n">
        <f aca="false">IF(K3="Yes",1,0)</f>
        <v>1</v>
      </c>
    </row>
    <row r="4" customFormat="false" ht="15" hidden="false" customHeight="false" outlineLevel="0" collapsed="false">
      <c r="A4" s="0" t="s">
        <v>30</v>
      </c>
      <c r="B4" s="0" t="s">
        <v>31</v>
      </c>
      <c r="C4" s="2" t="s">
        <v>32</v>
      </c>
      <c r="D4" s="2" t="s">
        <v>33</v>
      </c>
      <c r="E4" s="3" t="s">
        <v>34</v>
      </c>
      <c r="F4" s="3" t="s">
        <v>29</v>
      </c>
      <c r="G4" s="0" t="n">
        <v>910</v>
      </c>
      <c r="H4" s="4" t="n">
        <v>95.51</v>
      </c>
      <c r="I4" s="4" t="n">
        <v>92.26</v>
      </c>
      <c r="J4" s="0" t="n">
        <v>41</v>
      </c>
      <c r="K4" s="3" t="s">
        <v>24</v>
      </c>
      <c r="L4" s="3" t="n">
        <f aca="false">IF(D4="","",IF(D4-C4&lt;0,"",D4-C4))</f>
        <v>20</v>
      </c>
      <c r="M4" s="4" t="n">
        <f aca="false">G4*I4</f>
        <v>83956.6</v>
      </c>
      <c r="N4" s="5" t="n">
        <f aca="false">IF(J4="","",J4/G4*100)</f>
        <v>4.50549450549451</v>
      </c>
      <c r="O4" s="5" t="n">
        <f aca="false">(H4-I4)/H4*100</f>
        <v>3.402785048686</v>
      </c>
      <c r="P4" s="3" t="n">
        <f aca="false">IF(OR(F4="Delivered",F4="Partially Delivered"),1,0)</f>
        <v>1</v>
      </c>
      <c r="Q4" s="3" t="n">
        <f aca="false">IF(F4="Cancelled",1,0)</f>
        <v>0</v>
      </c>
      <c r="R4" s="3" t="n">
        <f aca="false">IF(K4="Yes",1,0)</f>
        <v>1</v>
      </c>
    </row>
    <row r="5" customFormat="false" ht="15" hidden="false" customHeight="false" outlineLevel="0" collapsed="false">
      <c r="A5" s="0" t="s">
        <v>35</v>
      </c>
      <c r="B5" s="0" t="s">
        <v>36</v>
      </c>
      <c r="C5" s="2" t="s">
        <v>37</v>
      </c>
      <c r="D5" s="2" t="s">
        <v>38</v>
      </c>
      <c r="E5" s="3" t="s">
        <v>39</v>
      </c>
      <c r="F5" s="3" t="s">
        <v>29</v>
      </c>
      <c r="G5" s="0" t="n">
        <v>1344</v>
      </c>
      <c r="H5" s="4" t="n">
        <v>99.85</v>
      </c>
      <c r="I5" s="4" t="n">
        <v>95.52</v>
      </c>
      <c r="J5" s="0" t="n">
        <v>112</v>
      </c>
      <c r="K5" s="3" t="s">
        <v>24</v>
      </c>
      <c r="L5" s="3" t="n">
        <f aca="false">IF(D5="","",IF(D5-C5&lt;0,"",D5-C5))</f>
        <v>19</v>
      </c>
      <c r="M5" s="4" t="n">
        <f aca="false">G5*I5</f>
        <v>128378.88</v>
      </c>
      <c r="N5" s="5" t="n">
        <f aca="false">IF(J5="","",J5/G5*100)</f>
        <v>8.33333333333333</v>
      </c>
      <c r="O5" s="5" t="n">
        <f aca="false">(H5-I5)/H5*100</f>
        <v>4.3365047571357</v>
      </c>
      <c r="P5" s="3" t="n">
        <f aca="false">IF(OR(F5="Delivered",F5="Partially Delivered"),1,0)</f>
        <v>1</v>
      </c>
      <c r="Q5" s="3" t="n">
        <f aca="false">IF(F5="Cancelled",1,0)</f>
        <v>0</v>
      </c>
      <c r="R5" s="3" t="n">
        <f aca="false">IF(K5="Yes",1,0)</f>
        <v>1</v>
      </c>
    </row>
    <row r="6" customFormat="false" ht="15" hidden="false" customHeight="false" outlineLevel="0" collapsed="false">
      <c r="A6" s="0" t="s">
        <v>40</v>
      </c>
      <c r="B6" s="0" t="s">
        <v>26</v>
      </c>
      <c r="C6" s="2" t="s">
        <v>41</v>
      </c>
      <c r="D6" s="2" t="s">
        <v>42</v>
      </c>
      <c r="E6" s="3" t="s">
        <v>43</v>
      </c>
      <c r="F6" s="3" t="s">
        <v>29</v>
      </c>
      <c r="G6" s="0" t="n">
        <v>1180</v>
      </c>
      <c r="H6" s="4" t="n">
        <v>64.07</v>
      </c>
      <c r="I6" s="4" t="n">
        <v>60.53</v>
      </c>
      <c r="J6" s="0" t="n">
        <v>171</v>
      </c>
      <c r="K6" s="3" t="s">
        <v>44</v>
      </c>
      <c r="L6" s="3" t="n">
        <f aca="false">IF(D6="","",IF(D6-C6&lt;0,"",D6-C6))</f>
        <v>12</v>
      </c>
      <c r="M6" s="4" t="n">
        <f aca="false">G6*I6</f>
        <v>71425.4</v>
      </c>
      <c r="N6" s="5" t="n">
        <f aca="false">IF(J6="","",J6/G6*100)</f>
        <v>14.4915254237288</v>
      </c>
      <c r="O6" s="5" t="n">
        <f aca="false">(H6-I6)/H6*100</f>
        <v>5.52520680505696</v>
      </c>
      <c r="P6" s="3" t="n">
        <f aca="false">IF(OR(F6="Delivered",F6="Partially Delivered"),1,0)</f>
        <v>1</v>
      </c>
      <c r="Q6" s="3" t="n">
        <f aca="false">IF(F6="Cancelled",1,0)</f>
        <v>0</v>
      </c>
      <c r="R6" s="3" t="n">
        <f aca="false">IF(K6="Yes",1,0)</f>
        <v>0</v>
      </c>
    </row>
    <row r="7" customFormat="false" ht="15" hidden="false" customHeight="false" outlineLevel="0" collapsed="false">
      <c r="A7" s="0" t="s">
        <v>45</v>
      </c>
      <c r="B7" s="0" t="s">
        <v>46</v>
      </c>
      <c r="C7" s="2" t="s">
        <v>47</v>
      </c>
      <c r="D7" s="2" t="s">
        <v>48</v>
      </c>
      <c r="E7" s="3" t="s">
        <v>34</v>
      </c>
      <c r="F7" s="3" t="s">
        <v>29</v>
      </c>
      <c r="G7" s="0" t="n">
        <v>1145</v>
      </c>
      <c r="H7" s="4" t="n">
        <v>69.21</v>
      </c>
      <c r="I7" s="4" t="n">
        <v>63.57</v>
      </c>
      <c r="J7" s="0" t="n">
        <v>39</v>
      </c>
      <c r="K7" s="3" t="s">
        <v>24</v>
      </c>
      <c r="L7" s="3" t="n">
        <f aca="false">IF(D7="","",IF(D7-C7&lt;0,"",D7-C7))</f>
        <v>12</v>
      </c>
      <c r="M7" s="4" t="n">
        <f aca="false">G7*I7</f>
        <v>72787.65</v>
      </c>
      <c r="N7" s="5" t="n">
        <f aca="false">IF(J7="","",J7/G7*100)</f>
        <v>3.4061135371179</v>
      </c>
      <c r="O7" s="5" t="n">
        <f aca="false">(H7-I7)/H7*100</f>
        <v>8.14911140008668</v>
      </c>
      <c r="P7" s="3" t="n">
        <f aca="false">IF(OR(F7="Delivered",F7="Partially Delivered"),1,0)</f>
        <v>1</v>
      </c>
      <c r="Q7" s="3" t="n">
        <f aca="false">IF(F7="Cancelled",1,0)</f>
        <v>0</v>
      </c>
      <c r="R7" s="3" t="n">
        <f aca="false">IF(K7="Yes",1,0)</f>
        <v>1</v>
      </c>
    </row>
    <row r="8" customFormat="false" ht="15" hidden="false" customHeight="false" outlineLevel="0" collapsed="false">
      <c r="A8" s="0" t="s">
        <v>49</v>
      </c>
      <c r="B8" s="0" t="s">
        <v>31</v>
      </c>
      <c r="C8" s="2" t="s">
        <v>50</v>
      </c>
      <c r="D8" s="2" t="s">
        <v>51</v>
      </c>
      <c r="E8" s="3" t="s">
        <v>34</v>
      </c>
      <c r="F8" s="3" t="s">
        <v>29</v>
      </c>
      <c r="G8" s="0" t="n">
        <v>1774</v>
      </c>
      <c r="H8" s="4" t="n">
        <v>51.37</v>
      </c>
      <c r="I8" s="4" t="n">
        <v>47.82</v>
      </c>
      <c r="J8" s="0" t="n">
        <v>96</v>
      </c>
      <c r="K8" s="3" t="s">
        <v>44</v>
      </c>
      <c r="L8" s="3" t="n">
        <f aca="false">IF(D8="","",IF(D8-C8&lt;0,"",D8-C8))</f>
        <v>11</v>
      </c>
      <c r="M8" s="4" t="n">
        <f aca="false">G8*I8</f>
        <v>84832.68</v>
      </c>
      <c r="N8" s="5" t="n">
        <f aca="false">IF(J8="","",J8/G8*100)</f>
        <v>5.41149943630214</v>
      </c>
      <c r="O8" s="5" t="n">
        <f aca="false">(H8-I8)/H8*100</f>
        <v>6.91064823827136</v>
      </c>
      <c r="P8" s="3" t="n">
        <f aca="false">IF(OR(F8="Delivered",F8="Partially Delivered"),1,0)</f>
        <v>1</v>
      </c>
      <c r="Q8" s="3" t="n">
        <f aca="false">IF(F8="Cancelled",1,0)</f>
        <v>0</v>
      </c>
      <c r="R8" s="3" t="n">
        <f aca="false">IF(K8="Yes",1,0)</f>
        <v>0</v>
      </c>
    </row>
    <row r="9" customFormat="false" ht="15" hidden="false" customHeight="false" outlineLevel="0" collapsed="false">
      <c r="A9" s="0" t="s">
        <v>52</v>
      </c>
      <c r="B9" s="0" t="s">
        <v>19</v>
      </c>
      <c r="C9" s="2" t="s">
        <v>53</v>
      </c>
      <c r="D9" s="2" t="s">
        <v>54</v>
      </c>
      <c r="E9" s="3" t="s">
        <v>34</v>
      </c>
      <c r="F9" s="3" t="s">
        <v>29</v>
      </c>
      <c r="G9" s="0" t="n">
        <v>1094</v>
      </c>
      <c r="H9" s="4" t="n">
        <v>36.93</v>
      </c>
      <c r="I9" s="4" t="n">
        <v>32.78</v>
      </c>
      <c r="J9" s="0" t="n">
        <v>22</v>
      </c>
      <c r="K9" s="3" t="s">
        <v>24</v>
      </c>
      <c r="L9" s="3" t="n">
        <f aca="false">IF(D9="","",IF(D9-C9&lt;0,"",D9-C9))</f>
        <v>14</v>
      </c>
      <c r="M9" s="4" t="n">
        <f aca="false">G9*I9</f>
        <v>35861.32</v>
      </c>
      <c r="N9" s="5" t="n">
        <f aca="false">IF(J9="","",J9/G9*100)</f>
        <v>2.0109689213894</v>
      </c>
      <c r="O9" s="5" t="n">
        <f aca="false">(H9-I9)/H9*100</f>
        <v>11.2374763065259</v>
      </c>
      <c r="P9" s="3" t="n">
        <f aca="false">IF(OR(F9="Delivered",F9="Partially Delivered"),1,0)</f>
        <v>1</v>
      </c>
      <c r="Q9" s="3" t="n">
        <f aca="false">IF(F9="Cancelled",1,0)</f>
        <v>0</v>
      </c>
      <c r="R9" s="3" t="n">
        <f aca="false">IF(K9="Yes",1,0)</f>
        <v>1</v>
      </c>
    </row>
    <row r="10" customFormat="false" ht="15" hidden="false" customHeight="false" outlineLevel="0" collapsed="false">
      <c r="A10" s="0" t="s">
        <v>55</v>
      </c>
      <c r="B10" s="0" t="s">
        <v>31</v>
      </c>
      <c r="C10" s="2" t="s">
        <v>56</v>
      </c>
      <c r="D10" s="2" t="s">
        <v>57</v>
      </c>
      <c r="E10" s="3" t="s">
        <v>43</v>
      </c>
      <c r="F10" s="3" t="s">
        <v>58</v>
      </c>
      <c r="G10" s="0" t="n">
        <v>1688</v>
      </c>
      <c r="H10" s="4" t="n">
        <v>43.93</v>
      </c>
      <c r="I10" s="4" t="n">
        <v>39.89</v>
      </c>
      <c r="J10" s="0" t="n">
        <v>89</v>
      </c>
      <c r="K10" s="3" t="s">
        <v>24</v>
      </c>
      <c r="L10" s="3" t="n">
        <f aca="false">IF(D10="","",IF(D10-C10&lt;0,"",D10-C10))</f>
        <v>4</v>
      </c>
      <c r="M10" s="4" t="n">
        <f aca="false">G10*I10</f>
        <v>67334.32</v>
      </c>
      <c r="N10" s="5" t="n">
        <f aca="false">IF(J10="","",J10/G10*100)</f>
        <v>5.27251184834123</v>
      </c>
      <c r="O10" s="5" t="n">
        <f aca="false">(H10-I10)/H10*100</f>
        <v>9.19644889597086</v>
      </c>
      <c r="P10" s="3" t="n">
        <f aca="false">IF(OR(F10="Delivered",F10="Partially Delivered"),1,0)</f>
        <v>1</v>
      </c>
      <c r="Q10" s="3" t="n">
        <f aca="false">IF(F10="Cancelled",1,0)</f>
        <v>0</v>
      </c>
      <c r="R10" s="3" t="n">
        <f aca="false">IF(K10="Yes",1,0)</f>
        <v>1</v>
      </c>
    </row>
    <row r="11" customFormat="false" ht="15" hidden="false" customHeight="false" outlineLevel="0" collapsed="false">
      <c r="A11" s="0" t="s">
        <v>59</v>
      </c>
      <c r="B11" s="0" t="s">
        <v>31</v>
      </c>
      <c r="C11" s="2" t="s">
        <v>60</v>
      </c>
      <c r="D11" s="2" t="s">
        <v>61</v>
      </c>
      <c r="E11" s="3" t="s">
        <v>43</v>
      </c>
      <c r="F11" s="3" t="s">
        <v>62</v>
      </c>
      <c r="G11" s="0" t="n">
        <v>171</v>
      </c>
      <c r="H11" s="4" t="n">
        <v>76.87</v>
      </c>
      <c r="I11" s="4" t="n">
        <v>70.2</v>
      </c>
      <c r="J11" s="0" t="n">
        <v>8</v>
      </c>
      <c r="K11" s="3" t="s">
        <v>24</v>
      </c>
      <c r="L11" s="3" t="n">
        <f aca="false">IF(D11="","",IF(D11-C11&lt;0,"",D11-C11))</f>
        <v>12</v>
      </c>
      <c r="M11" s="4" t="n">
        <f aca="false">G11*I11</f>
        <v>12004.2</v>
      </c>
      <c r="N11" s="5" t="n">
        <f aca="false">IF(J11="","",J11/G11*100)</f>
        <v>4.67836257309942</v>
      </c>
      <c r="O11" s="5" t="n">
        <f aca="false">(H11-I11)/H11*100</f>
        <v>8.67698712111357</v>
      </c>
      <c r="P11" s="3" t="n">
        <f aca="false">IF(OR(F11="Delivered",F11="Partially Delivered"),1,0)</f>
        <v>0</v>
      </c>
      <c r="Q11" s="3" t="n">
        <f aca="false">IF(F11="Cancelled",1,0)</f>
        <v>0</v>
      </c>
      <c r="R11" s="3" t="n">
        <f aca="false">IF(K11="Yes",1,0)</f>
        <v>1</v>
      </c>
    </row>
    <row r="12" customFormat="false" ht="15" hidden="false" customHeight="false" outlineLevel="0" collapsed="false">
      <c r="A12" s="0" t="s">
        <v>63</v>
      </c>
      <c r="B12" s="0" t="s">
        <v>46</v>
      </c>
      <c r="C12" s="2" t="s">
        <v>64</v>
      </c>
      <c r="D12" s="2" t="s">
        <v>53</v>
      </c>
      <c r="E12" s="3" t="s">
        <v>43</v>
      </c>
      <c r="F12" s="3" t="s">
        <v>29</v>
      </c>
      <c r="G12" s="0" t="n">
        <v>5000</v>
      </c>
      <c r="H12" s="4" t="n">
        <v>78.49</v>
      </c>
      <c r="I12" s="4" t="n">
        <v>73.68</v>
      </c>
      <c r="J12" s="0" t="n">
        <v>18</v>
      </c>
      <c r="K12" s="3" t="s">
        <v>24</v>
      </c>
      <c r="L12" s="3" t="n">
        <f aca="false">IF(D12="","",IF(D12-C12&lt;0,"",D12-C12))</f>
        <v>15</v>
      </c>
      <c r="M12" s="4" t="n">
        <f aca="false">G12*I12</f>
        <v>368400</v>
      </c>
      <c r="N12" s="5" t="n">
        <f aca="false">IF(J12="","",J12/G12*100)</f>
        <v>0.36</v>
      </c>
      <c r="O12" s="5" t="n">
        <f aca="false">(H12-I12)/H12*100</f>
        <v>6.12816919352782</v>
      </c>
      <c r="P12" s="3" t="n">
        <f aca="false">IF(OR(F12="Delivered",F12="Partially Delivered"),1,0)</f>
        <v>1</v>
      </c>
      <c r="Q12" s="3" t="n">
        <f aca="false">IF(F12="Cancelled",1,0)</f>
        <v>0</v>
      </c>
      <c r="R12" s="3" t="n">
        <f aca="false">IF(K12="Yes",1,0)</f>
        <v>1</v>
      </c>
    </row>
    <row r="13" customFormat="false" ht="15" hidden="false" customHeight="false" outlineLevel="0" collapsed="false">
      <c r="A13" s="0" t="s">
        <v>65</v>
      </c>
      <c r="B13" s="0" t="s">
        <v>36</v>
      </c>
      <c r="C13" s="2" t="s">
        <v>66</v>
      </c>
      <c r="D13" s="2" t="s">
        <v>67</v>
      </c>
      <c r="E13" s="3" t="s">
        <v>43</v>
      </c>
      <c r="F13" s="3" t="s">
        <v>29</v>
      </c>
      <c r="G13" s="0" t="n">
        <v>5000</v>
      </c>
      <c r="H13" s="4" t="n">
        <v>88.96</v>
      </c>
      <c r="I13" s="4" t="n">
        <v>86.58</v>
      </c>
      <c r="J13" s="0" t="n">
        <v>115</v>
      </c>
      <c r="K13" s="3" t="s">
        <v>24</v>
      </c>
      <c r="L13" s="3" t="n">
        <f aca="false">IF(D13="","",IF(D13-C13&lt;0,"",D13-C13))</f>
        <v>14</v>
      </c>
      <c r="M13" s="4" t="n">
        <f aca="false">G13*I13</f>
        <v>432900</v>
      </c>
      <c r="N13" s="5" t="n">
        <f aca="false">IF(J13="","",J13/G13*100)</f>
        <v>2.3</v>
      </c>
      <c r="O13" s="5" t="n">
        <f aca="false">(H13-I13)/H13*100</f>
        <v>2.67535971223021</v>
      </c>
      <c r="P13" s="3" t="n">
        <f aca="false">IF(OR(F13="Delivered",F13="Partially Delivered"),1,0)</f>
        <v>1</v>
      </c>
      <c r="Q13" s="3" t="n">
        <f aca="false">IF(F13="Cancelled",1,0)</f>
        <v>0</v>
      </c>
      <c r="R13" s="3" t="n">
        <f aca="false">IF(K13="Yes",1,0)</f>
        <v>1</v>
      </c>
    </row>
    <row r="14" customFormat="false" ht="15" hidden="false" customHeight="false" outlineLevel="0" collapsed="false">
      <c r="A14" s="0" t="s">
        <v>68</v>
      </c>
      <c r="B14" s="0" t="s">
        <v>36</v>
      </c>
      <c r="C14" s="2" t="s">
        <v>69</v>
      </c>
      <c r="D14" s="2" t="s">
        <v>70</v>
      </c>
      <c r="E14" s="3" t="s">
        <v>71</v>
      </c>
      <c r="F14" s="3" t="s">
        <v>62</v>
      </c>
      <c r="G14" s="0" t="n">
        <v>5000</v>
      </c>
      <c r="H14" s="4" t="n">
        <v>86.74</v>
      </c>
      <c r="I14" s="4" t="n">
        <v>74.86</v>
      </c>
      <c r="J14" s="0" t="n">
        <v>51</v>
      </c>
      <c r="K14" s="3" t="s">
        <v>24</v>
      </c>
      <c r="L14" s="3" t="n">
        <f aca="false">IF(D14="","",IF(D14-C14&lt;0,"",D14-C14))</f>
        <v>17</v>
      </c>
      <c r="M14" s="4" t="n">
        <f aca="false">G14*I14</f>
        <v>374300</v>
      </c>
      <c r="N14" s="5" t="n">
        <f aca="false">IF(J14="","",J14/G14*100)</f>
        <v>1.02</v>
      </c>
      <c r="O14" s="5" t="n">
        <f aca="false">(H14-I14)/H14*100</f>
        <v>13.6961032972101</v>
      </c>
      <c r="P14" s="3" t="n">
        <f aca="false">IF(OR(F14="Delivered",F14="Partially Delivered"),1,0)</f>
        <v>0</v>
      </c>
      <c r="Q14" s="3" t="n">
        <f aca="false">IF(F14="Cancelled",1,0)</f>
        <v>0</v>
      </c>
      <c r="R14" s="3" t="n">
        <f aca="false">IF(K14="Yes",1,0)</f>
        <v>1</v>
      </c>
    </row>
    <row r="15" customFormat="false" ht="15" hidden="false" customHeight="false" outlineLevel="0" collapsed="false">
      <c r="A15" s="0" t="s">
        <v>72</v>
      </c>
      <c r="B15" s="0" t="s">
        <v>36</v>
      </c>
      <c r="C15" s="2" t="s">
        <v>73</v>
      </c>
      <c r="D15" s="2"/>
      <c r="E15" s="3" t="s">
        <v>34</v>
      </c>
      <c r="F15" s="3" t="s">
        <v>29</v>
      </c>
      <c r="G15" s="0" t="n">
        <v>5000</v>
      </c>
      <c r="H15" s="4" t="n">
        <v>18.3</v>
      </c>
      <c r="I15" s="4" t="n">
        <v>16.88</v>
      </c>
      <c r="K15" s="3" t="s">
        <v>24</v>
      </c>
      <c r="L15" s="0" t="str">
        <f aca="false">IF(D15="","",IF(D15-C15&lt;0,"",D15-C15))</f>
        <v/>
      </c>
      <c r="M15" s="4" t="n">
        <f aca="false">G15*I15</f>
        <v>84400</v>
      </c>
      <c r="N15" s="5" t="str">
        <f aca="false">IF(J15="","",J15/G15*100)</f>
        <v/>
      </c>
      <c r="O15" s="5" t="n">
        <f aca="false">(H15-I15)/H15*100</f>
        <v>7.75956284153006</v>
      </c>
      <c r="P15" s="3" t="n">
        <f aca="false">IF(OR(F15="Delivered",F15="Partially Delivered"),1,0)</f>
        <v>1</v>
      </c>
      <c r="Q15" s="3" t="n">
        <f aca="false">IF(F15="Cancelled",1,0)</f>
        <v>0</v>
      </c>
      <c r="R15" s="3" t="n">
        <f aca="false">IF(K15="Yes",1,0)</f>
        <v>1</v>
      </c>
    </row>
    <row r="16" customFormat="false" ht="15" hidden="false" customHeight="false" outlineLevel="0" collapsed="false">
      <c r="A16" s="0" t="s">
        <v>74</v>
      </c>
      <c r="B16" s="0" t="s">
        <v>26</v>
      </c>
      <c r="C16" s="2" t="s">
        <v>75</v>
      </c>
      <c r="D16" s="2" t="s">
        <v>76</v>
      </c>
      <c r="E16" s="3" t="s">
        <v>71</v>
      </c>
      <c r="F16" s="3" t="s">
        <v>62</v>
      </c>
      <c r="G16" s="0" t="n">
        <v>5000</v>
      </c>
      <c r="H16" s="4" t="n">
        <v>54.5</v>
      </c>
      <c r="I16" s="4" t="n">
        <v>48.45</v>
      </c>
      <c r="J16" s="0" t="n">
        <v>22</v>
      </c>
      <c r="K16" s="3" t="s">
        <v>24</v>
      </c>
      <c r="L16" s="3" t="n">
        <f aca="false">IF(D16="","",IF(D16-C16&lt;0,"",D16-C16))</f>
        <v>18</v>
      </c>
      <c r="M16" s="4" t="n">
        <f aca="false">G16*I16</f>
        <v>242250</v>
      </c>
      <c r="N16" s="5" t="n">
        <f aca="false">IF(J16="","",J16/G16*100)</f>
        <v>0.44</v>
      </c>
      <c r="O16" s="5" t="n">
        <f aca="false">(H16-I16)/H16*100</f>
        <v>11.1009174311927</v>
      </c>
      <c r="P16" s="3" t="n">
        <f aca="false">IF(OR(F16="Delivered",F16="Partially Delivered"),1,0)</f>
        <v>0</v>
      </c>
      <c r="Q16" s="3" t="n">
        <f aca="false">IF(F16="Cancelled",1,0)</f>
        <v>0</v>
      </c>
      <c r="R16" s="3" t="n">
        <f aca="false">IF(K16="Yes",1,0)</f>
        <v>1</v>
      </c>
    </row>
    <row r="17" customFormat="false" ht="15" hidden="false" customHeight="false" outlineLevel="0" collapsed="false">
      <c r="A17" s="0" t="s">
        <v>77</v>
      </c>
      <c r="B17" s="0" t="s">
        <v>36</v>
      </c>
      <c r="C17" s="2" t="s">
        <v>78</v>
      </c>
      <c r="D17" s="2" t="s">
        <v>79</v>
      </c>
      <c r="E17" s="3" t="s">
        <v>39</v>
      </c>
      <c r="F17" s="3" t="s">
        <v>29</v>
      </c>
      <c r="G17" s="0" t="n">
        <v>5000</v>
      </c>
      <c r="H17" s="4" t="n">
        <v>15.41</v>
      </c>
      <c r="I17" s="4" t="n">
        <v>15.12</v>
      </c>
      <c r="K17" s="3" t="s">
        <v>24</v>
      </c>
      <c r="L17" s="3" t="n">
        <f aca="false">IF(D17="","",IF(D17-C17&lt;0,"",D17-C17))</f>
        <v>15</v>
      </c>
      <c r="M17" s="4" t="n">
        <f aca="false">G17*I17</f>
        <v>75600</v>
      </c>
      <c r="N17" s="5" t="str">
        <f aca="false">IF(J17="","",J17/G17*100)</f>
        <v/>
      </c>
      <c r="O17" s="5" t="n">
        <f aca="false">(H17-I17)/H17*100</f>
        <v>1.8818948734588</v>
      </c>
      <c r="P17" s="3" t="n">
        <f aca="false">IF(OR(F17="Delivered",F17="Partially Delivered"),1,0)</f>
        <v>1</v>
      </c>
      <c r="Q17" s="3" t="n">
        <f aca="false">IF(F17="Cancelled",1,0)</f>
        <v>0</v>
      </c>
      <c r="R17" s="3" t="n">
        <f aca="false">IF(K17="Yes",1,0)</f>
        <v>1</v>
      </c>
    </row>
    <row r="18" customFormat="false" ht="15" hidden="false" customHeight="false" outlineLevel="0" collapsed="false">
      <c r="A18" s="0" t="s">
        <v>80</v>
      </c>
      <c r="B18" s="0" t="s">
        <v>26</v>
      </c>
      <c r="C18" s="2" t="s">
        <v>81</v>
      </c>
      <c r="D18" s="2" t="s">
        <v>82</v>
      </c>
      <c r="E18" s="3" t="s">
        <v>34</v>
      </c>
      <c r="F18" s="3" t="s">
        <v>29</v>
      </c>
      <c r="G18" s="0" t="n">
        <v>1173</v>
      </c>
      <c r="H18" s="4" t="n">
        <v>61.54</v>
      </c>
      <c r="I18" s="4" t="n">
        <v>55.49</v>
      </c>
      <c r="J18" s="0" t="n">
        <v>172</v>
      </c>
      <c r="K18" s="3" t="s">
        <v>44</v>
      </c>
      <c r="L18" s="3" t="n">
        <f aca="false">IF(D18="","",IF(D18-C18&lt;0,"",D18-C18))</f>
        <v>19</v>
      </c>
      <c r="M18" s="4" t="n">
        <f aca="false">G18*I18</f>
        <v>65089.77</v>
      </c>
      <c r="N18" s="5" t="n">
        <f aca="false">IF(J18="","",J18/G18*100)</f>
        <v>14.6632566069906</v>
      </c>
      <c r="O18" s="5" t="n">
        <f aca="false">(H18-I18)/H18*100</f>
        <v>9.83100422489437</v>
      </c>
      <c r="P18" s="3" t="n">
        <f aca="false">IF(OR(F18="Delivered",F18="Partially Delivered"),1,0)</f>
        <v>1</v>
      </c>
      <c r="Q18" s="3" t="n">
        <f aca="false">IF(F18="Cancelled",1,0)</f>
        <v>0</v>
      </c>
      <c r="R18" s="3" t="n">
        <f aca="false">IF(K18="Yes",1,0)</f>
        <v>0</v>
      </c>
    </row>
    <row r="19" customFormat="false" ht="15" hidden="false" customHeight="false" outlineLevel="0" collapsed="false">
      <c r="A19" s="0" t="s">
        <v>83</v>
      </c>
      <c r="B19" s="0" t="s">
        <v>46</v>
      </c>
      <c r="C19" s="2" t="s">
        <v>84</v>
      </c>
      <c r="D19" s="2" t="s">
        <v>85</v>
      </c>
      <c r="E19" s="3" t="s">
        <v>43</v>
      </c>
      <c r="F19" s="3" t="s">
        <v>29</v>
      </c>
      <c r="G19" s="0" t="n">
        <v>921</v>
      </c>
      <c r="H19" s="4" t="n">
        <v>51.48</v>
      </c>
      <c r="I19" s="4" t="n">
        <v>50.61</v>
      </c>
      <c r="K19" s="3" t="s">
        <v>24</v>
      </c>
      <c r="L19" s="3" t="n">
        <f aca="false">IF(D19="","",IF(D19-C19&lt;0,"",D19-C19))</f>
        <v>8</v>
      </c>
      <c r="M19" s="4" t="n">
        <f aca="false">G19*I19</f>
        <v>46611.81</v>
      </c>
      <c r="N19" s="5" t="str">
        <f aca="false">IF(J19="","",J19/G19*100)</f>
        <v/>
      </c>
      <c r="O19" s="5" t="n">
        <f aca="false">(H19-I19)/H19*100</f>
        <v>1.68997668997669</v>
      </c>
      <c r="P19" s="3" t="n">
        <f aca="false">IF(OR(F19="Delivered",F19="Partially Delivered"),1,0)</f>
        <v>1</v>
      </c>
      <c r="Q19" s="3" t="n">
        <f aca="false">IF(F19="Cancelled",1,0)</f>
        <v>0</v>
      </c>
      <c r="R19" s="3" t="n">
        <f aca="false">IF(K19="Yes",1,0)</f>
        <v>1</v>
      </c>
    </row>
    <row r="20" customFormat="false" ht="15" hidden="false" customHeight="false" outlineLevel="0" collapsed="false">
      <c r="A20" s="0" t="s">
        <v>86</v>
      </c>
      <c r="B20" s="0" t="s">
        <v>31</v>
      </c>
      <c r="C20" s="2" t="s">
        <v>87</v>
      </c>
      <c r="D20" s="2" t="s">
        <v>88</v>
      </c>
      <c r="E20" s="3" t="s">
        <v>43</v>
      </c>
      <c r="F20" s="3" t="s">
        <v>58</v>
      </c>
      <c r="G20" s="0" t="n">
        <v>1737</v>
      </c>
      <c r="H20" s="4" t="n">
        <v>97.53</v>
      </c>
      <c r="I20" s="4" t="n">
        <v>87.37</v>
      </c>
      <c r="J20" s="0" t="n">
        <v>79</v>
      </c>
      <c r="K20" s="3" t="s">
        <v>24</v>
      </c>
      <c r="L20" s="3" t="n">
        <f aca="false">IF(D20="","",IF(D20-C20&lt;0,"",D20-C20))</f>
        <v>3</v>
      </c>
      <c r="M20" s="4" t="n">
        <f aca="false">G20*I20</f>
        <v>151761.69</v>
      </c>
      <c r="N20" s="5" t="n">
        <f aca="false">IF(J20="","",J20/G20*100)</f>
        <v>4.54807138744963</v>
      </c>
      <c r="O20" s="5" t="n">
        <f aca="false">(H20-I20)/H20*100</f>
        <v>10.4173074951297</v>
      </c>
      <c r="P20" s="3" t="n">
        <f aca="false">IF(OR(F20="Delivered",F20="Partially Delivered"),1,0)</f>
        <v>1</v>
      </c>
      <c r="Q20" s="3" t="n">
        <f aca="false">IF(F20="Cancelled",1,0)</f>
        <v>0</v>
      </c>
      <c r="R20" s="3" t="n">
        <f aca="false">IF(K20="Yes",1,0)</f>
        <v>1</v>
      </c>
    </row>
    <row r="21" customFormat="false" ht="15" hidden="false" customHeight="false" outlineLevel="0" collapsed="false">
      <c r="A21" s="0" t="s">
        <v>89</v>
      </c>
      <c r="B21" s="0" t="s">
        <v>26</v>
      </c>
      <c r="C21" s="2" t="s">
        <v>90</v>
      </c>
      <c r="D21" s="2" t="s">
        <v>91</v>
      </c>
      <c r="E21" s="3" t="s">
        <v>43</v>
      </c>
      <c r="F21" s="3" t="s">
        <v>29</v>
      </c>
      <c r="G21" s="0" t="n">
        <v>180</v>
      </c>
      <c r="H21" s="4" t="n">
        <v>45.74</v>
      </c>
      <c r="I21" s="4" t="n">
        <v>38.89</v>
      </c>
      <c r="K21" s="3" t="s">
        <v>44</v>
      </c>
      <c r="L21" s="3" t="n">
        <f aca="false">IF(D21="","",IF(D21-C21&lt;0,"",D21-C21))</f>
        <v>15</v>
      </c>
      <c r="M21" s="4" t="n">
        <f aca="false">G21*I21</f>
        <v>7000.2</v>
      </c>
      <c r="N21" s="5" t="str">
        <f aca="false">IF(J21="","",J21/G21*100)</f>
        <v/>
      </c>
      <c r="O21" s="5" t="n">
        <f aca="false">(H21-I21)/H21*100</f>
        <v>14.975951027547</v>
      </c>
      <c r="P21" s="3" t="n">
        <f aca="false">IF(OR(F21="Delivered",F21="Partially Delivered"),1,0)</f>
        <v>1</v>
      </c>
      <c r="Q21" s="3" t="n">
        <f aca="false">IF(F21="Cancelled",1,0)</f>
        <v>0</v>
      </c>
      <c r="R21" s="3" t="n">
        <f aca="false">IF(K21="Yes",1,0)</f>
        <v>0</v>
      </c>
    </row>
    <row r="22" customFormat="false" ht="15" hidden="false" customHeight="false" outlineLevel="0" collapsed="false">
      <c r="A22" s="0" t="s">
        <v>92</v>
      </c>
      <c r="B22" s="0" t="s">
        <v>46</v>
      </c>
      <c r="C22" s="2" t="s">
        <v>93</v>
      </c>
      <c r="D22" s="2" t="s">
        <v>94</v>
      </c>
      <c r="E22" s="3" t="s">
        <v>71</v>
      </c>
      <c r="F22" s="3" t="s">
        <v>23</v>
      </c>
      <c r="G22" s="0" t="n">
        <v>1735</v>
      </c>
      <c r="H22" s="4" t="n">
        <v>20.54</v>
      </c>
      <c r="I22" s="4" t="n">
        <v>19.69</v>
      </c>
      <c r="J22" s="0" t="n">
        <v>49</v>
      </c>
      <c r="K22" s="3" t="s">
        <v>24</v>
      </c>
      <c r="L22" s="3" t="n">
        <f aca="false">IF(D22="","",IF(D22-C22&lt;0,"",D22-C22))</f>
        <v>15</v>
      </c>
      <c r="M22" s="4" t="n">
        <f aca="false">G22*I22</f>
        <v>34162.15</v>
      </c>
      <c r="N22" s="5" t="n">
        <f aca="false">IF(J22="","",J22/G22*100)</f>
        <v>2.82420749279539</v>
      </c>
      <c r="O22" s="5" t="n">
        <f aca="false">(H22-I22)/H22*100</f>
        <v>4.13826679649463</v>
      </c>
      <c r="P22" s="3" t="n">
        <f aca="false">IF(OR(F22="Delivered",F22="Partially Delivered"),1,0)</f>
        <v>0</v>
      </c>
      <c r="Q22" s="3" t="n">
        <f aca="false">IF(F22="Cancelled",1,0)</f>
        <v>1</v>
      </c>
      <c r="R22" s="3" t="n">
        <f aca="false">IF(K22="Yes",1,0)</f>
        <v>1</v>
      </c>
    </row>
    <row r="23" customFormat="false" ht="15" hidden="false" customHeight="false" outlineLevel="0" collapsed="false">
      <c r="A23" s="0" t="s">
        <v>95</v>
      </c>
      <c r="B23" s="0" t="s">
        <v>26</v>
      </c>
      <c r="C23" s="2" t="s">
        <v>96</v>
      </c>
      <c r="D23" s="2" t="s">
        <v>97</v>
      </c>
      <c r="E23" s="3" t="s">
        <v>43</v>
      </c>
      <c r="F23" s="3" t="s">
        <v>29</v>
      </c>
      <c r="G23" s="0" t="n">
        <v>1382</v>
      </c>
      <c r="H23" s="4" t="n">
        <v>24.93</v>
      </c>
      <c r="I23" s="4" t="n">
        <v>23.75</v>
      </c>
      <c r="K23" s="3" t="s">
        <v>24</v>
      </c>
      <c r="L23" s="3" t="n">
        <f aca="false">IF(D23="","",IF(D23-C23&lt;0,"",D23-C23))</f>
        <v>13</v>
      </c>
      <c r="M23" s="4" t="n">
        <f aca="false">G23*I23</f>
        <v>32822.5</v>
      </c>
      <c r="N23" s="5" t="str">
        <f aca="false">IF(J23="","",J23/G23*100)</f>
        <v/>
      </c>
      <c r="O23" s="5" t="n">
        <f aca="false">(H23-I23)/H23*100</f>
        <v>4.73325310870437</v>
      </c>
      <c r="P23" s="3" t="n">
        <f aca="false">IF(OR(F23="Delivered",F23="Partially Delivered"),1,0)</f>
        <v>1</v>
      </c>
      <c r="Q23" s="3" t="n">
        <f aca="false">IF(F23="Cancelled",1,0)</f>
        <v>0</v>
      </c>
      <c r="R23" s="3" t="n">
        <f aca="false">IF(K23="Yes",1,0)</f>
        <v>1</v>
      </c>
    </row>
    <row r="24" customFormat="false" ht="15" hidden="false" customHeight="false" outlineLevel="0" collapsed="false">
      <c r="A24" s="0" t="s">
        <v>98</v>
      </c>
      <c r="B24" s="0" t="s">
        <v>46</v>
      </c>
      <c r="C24" s="2" t="s">
        <v>99</v>
      </c>
      <c r="D24" s="2" t="s">
        <v>100</v>
      </c>
      <c r="E24" s="3" t="s">
        <v>34</v>
      </c>
      <c r="F24" s="3" t="s">
        <v>29</v>
      </c>
      <c r="G24" s="0" t="n">
        <v>819</v>
      </c>
      <c r="H24" s="4" t="n">
        <v>80.89</v>
      </c>
      <c r="I24" s="4" t="n">
        <v>77.03</v>
      </c>
      <c r="J24" s="0" t="n">
        <v>29</v>
      </c>
      <c r="K24" s="3" t="s">
        <v>24</v>
      </c>
      <c r="L24" s="3" t="n">
        <f aca="false">IF(D24="","",IF(D24-C24&lt;0,"",D24-C24))</f>
        <v>16</v>
      </c>
      <c r="M24" s="4" t="n">
        <f aca="false">G24*I24</f>
        <v>63087.57</v>
      </c>
      <c r="N24" s="5" t="n">
        <f aca="false">IF(J24="","",J24/G24*100)</f>
        <v>3.54090354090354</v>
      </c>
      <c r="O24" s="5" t="n">
        <f aca="false">(H24-I24)/H24*100</f>
        <v>4.77191247372976</v>
      </c>
      <c r="P24" s="3" t="n">
        <f aca="false">IF(OR(F24="Delivered",F24="Partially Delivered"),1,0)</f>
        <v>1</v>
      </c>
      <c r="Q24" s="3" t="n">
        <f aca="false">IF(F24="Cancelled",1,0)</f>
        <v>0</v>
      </c>
      <c r="R24" s="3" t="n">
        <f aca="false">IF(K24="Yes",1,0)</f>
        <v>1</v>
      </c>
    </row>
    <row r="25" customFormat="false" ht="15" hidden="false" customHeight="false" outlineLevel="0" collapsed="false">
      <c r="A25" s="0" t="s">
        <v>101</v>
      </c>
      <c r="B25" s="0" t="s">
        <v>36</v>
      </c>
      <c r="C25" s="2" t="s">
        <v>102</v>
      </c>
      <c r="D25" s="2" t="s">
        <v>103</v>
      </c>
      <c r="E25" s="3" t="s">
        <v>22</v>
      </c>
      <c r="F25" s="3" t="s">
        <v>58</v>
      </c>
      <c r="G25" s="0" t="n">
        <v>393</v>
      </c>
      <c r="H25" s="4" t="n">
        <v>72.53</v>
      </c>
      <c r="I25" s="4" t="n">
        <v>66.31</v>
      </c>
      <c r="J25" s="0" t="n">
        <v>42</v>
      </c>
      <c r="K25" s="3" t="s">
        <v>44</v>
      </c>
      <c r="L25" s="3" t="n">
        <f aca="false">IF(D25="","",IF(D25-C25&lt;0,"",D25-C25))</f>
        <v>6</v>
      </c>
      <c r="M25" s="4" t="n">
        <f aca="false">G25*I25</f>
        <v>26059.83</v>
      </c>
      <c r="N25" s="5" t="n">
        <f aca="false">IF(J25="","",J25/G25*100)</f>
        <v>10.6870229007634</v>
      </c>
      <c r="O25" s="5" t="n">
        <f aca="false">(H25-I25)/H25*100</f>
        <v>8.57576175375707</v>
      </c>
      <c r="P25" s="3" t="n">
        <f aca="false">IF(OR(F25="Delivered",F25="Partially Delivered"),1,0)</f>
        <v>1</v>
      </c>
      <c r="Q25" s="3" t="n">
        <f aca="false">IF(F25="Cancelled",1,0)</f>
        <v>0</v>
      </c>
      <c r="R25" s="3" t="n">
        <f aca="false">IF(K25="Yes",1,0)</f>
        <v>0</v>
      </c>
    </row>
    <row r="26" customFormat="false" ht="15" hidden="false" customHeight="false" outlineLevel="0" collapsed="false">
      <c r="A26" s="0" t="s">
        <v>104</v>
      </c>
      <c r="B26" s="0" t="s">
        <v>36</v>
      </c>
      <c r="C26" s="2" t="s">
        <v>105</v>
      </c>
      <c r="D26" s="2" t="s">
        <v>106</v>
      </c>
      <c r="E26" s="3" t="s">
        <v>34</v>
      </c>
      <c r="F26" s="3" t="s">
        <v>29</v>
      </c>
      <c r="G26" s="0" t="n">
        <v>1565</v>
      </c>
      <c r="H26" s="4" t="n">
        <v>21.3</v>
      </c>
      <c r="I26" s="4" t="n">
        <v>20.09</v>
      </c>
      <c r="J26" s="0" t="n">
        <v>161</v>
      </c>
      <c r="K26" s="3" t="s">
        <v>24</v>
      </c>
      <c r="L26" s="3" t="n">
        <f aca="false">IF(D26="","",IF(D26-C26&lt;0,"",D26-C26))</f>
        <v>12</v>
      </c>
      <c r="M26" s="4" t="n">
        <f aca="false">G26*I26</f>
        <v>31440.85</v>
      </c>
      <c r="N26" s="5" t="n">
        <f aca="false">IF(J26="","",J26/G26*100)</f>
        <v>10.2875399361022</v>
      </c>
      <c r="O26" s="5" t="n">
        <f aca="false">(H26-I26)/H26*100</f>
        <v>5.68075117370892</v>
      </c>
      <c r="P26" s="3" t="n">
        <f aca="false">IF(OR(F26="Delivered",F26="Partially Delivered"),1,0)</f>
        <v>1</v>
      </c>
      <c r="Q26" s="3" t="n">
        <f aca="false">IF(F26="Cancelled",1,0)</f>
        <v>0</v>
      </c>
      <c r="R26" s="3" t="n">
        <f aca="false">IF(K26="Yes",1,0)</f>
        <v>1</v>
      </c>
    </row>
    <row r="27" customFormat="false" ht="15" hidden="false" customHeight="false" outlineLevel="0" collapsed="false">
      <c r="A27" s="0" t="s">
        <v>107</v>
      </c>
      <c r="B27" s="0" t="s">
        <v>46</v>
      </c>
      <c r="C27" s="2" t="s">
        <v>60</v>
      </c>
      <c r="D27" s="2" t="s">
        <v>108</v>
      </c>
      <c r="E27" s="3" t="s">
        <v>39</v>
      </c>
      <c r="F27" s="3" t="s">
        <v>29</v>
      </c>
      <c r="G27" s="0" t="n">
        <v>1487</v>
      </c>
      <c r="H27" s="4" t="n">
        <v>19.15</v>
      </c>
      <c r="I27" s="4" t="n">
        <v>17.24</v>
      </c>
      <c r="K27" s="3" t="s">
        <v>24</v>
      </c>
      <c r="L27" s="3" t="n">
        <f aca="false">IF(D27="","",IF(D27-C27&lt;0,"",D27-C27))</f>
        <v>11</v>
      </c>
      <c r="M27" s="4" t="n">
        <f aca="false">G27*I27</f>
        <v>25635.88</v>
      </c>
      <c r="N27" s="5" t="str">
        <f aca="false">IF(J27="","",J27/G27*100)</f>
        <v/>
      </c>
      <c r="O27" s="5" t="n">
        <f aca="false">(H27-I27)/H27*100</f>
        <v>9.97389033942559</v>
      </c>
      <c r="P27" s="3" t="n">
        <f aca="false">IF(OR(F27="Delivered",F27="Partially Delivered"),1,0)</f>
        <v>1</v>
      </c>
      <c r="Q27" s="3" t="n">
        <f aca="false">IF(F27="Cancelled",1,0)</f>
        <v>0</v>
      </c>
      <c r="R27" s="3" t="n">
        <f aca="false">IF(K27="Yes",1,0)</f>
        <v>1</v>
      </c>
    </row>
    <row r="28" customFormat="false" ht="15" hidden="false" customHeight="false" outlineLevel="0" collapsed="false">
      <c r="A28" s="0" t="s">
        <v>109</v>
      </c>
      <c r="B28" s="0" t="s">
        <v>19</v>
      </c>
      <c r="C28" s="2" t="s">
        <v>110</v>
      </c>
      <c r="D28" s="2" t="s">
        <v>70</v>
      </c>
      <c r="E28" s="3" t="s">
        <v>34</v>
      </c>
      <c r="F28" s="3" t="s">
        <v>29</v>
      </c>
      <c r="G28" s="0" t="n">
        <v>855</v>
      </c>
      <c r="H28" s="4" t="n">
        <v>78.2</v>
      </c>
      <c r="I28" s="4" t="n">
        <v>67.16</v>
      </c>
      <c r="J28" s="0" t="n">
        <v>17</v>
      </c>
      <c r="K28" s="3" t="s">
        <v>24</v>
      </c>
      <c r="L28" s="3" t="n">
        <f aca="false">IF(D28="","",IF(D28-C28&lt;0,"",D28-C28))</f>
        <v>20</v>
      </c>
      <c r="M28" s="4" t="n">
        <f aca="false">G28*I28</f>
        <v>57421.8</v>
      </c>
      <c r="N28" s="5" t="n">
        <f aca="false">IF(J28="","",J28/G28*100)</f>
        <v>1.98830409356725</v>
      </c>
      <c r="O28" s="5" t="n">
        <f aca="false">(H28-I28)/H28*100</f>
        <v>14.1176470588235</v>
      </c>
      <c r="P28" s="3" t="n">
        <f aca="false">IF(OR(F28="Delivered",F28="Partially Delivered"),1,0)</f>
        <v>1</v>
      </c>
      <c r="Q28" s="3" t="n">
        <f aca="false">IF(F28="Cancelled",1,0)</f>
        <v>0</v>
      </c>
      <c r="R28" s="3" t="n">
        <f aca="false">IF(K28="Yes",1,0)</f>
        <v>1</v>
      </c>
    </row>
    <row r="29" customFormat="false" ht="15" hidden="false" customHeight="false" outlineLevel="0" collapsed="false">
      <c r="A29" s="0" t="s">
        <v>111</v>
      </c>
      <c r="B29" s="0" t="s">
        <v>46</v>
      </c>
      <c r="C29" s="2" t="s">
        <v>112</v>
      </c>
      <c r="D29" s="2" t="s">
        <v>113</v>
      </c>
      <c r="E29" s="3" t="s">
        <v>43</v>
      </c>
      <c r="F29" s="3" t="s">
        <v>29</v>
      </c>
      <c r="G29" s="0" t="n">
        <v>435</v>
      </c>
      <c r="H29" s="4" t="n">
        <v>17.13</v>
      </c>
      <c r="I29" s="4" t="n">
        <v>15.84</v>
      </c>
      <c r="J29" s="0" t="n">
        <v>8</v>
      </c>
      <c r="K29" s="3" t="s">
        <v>24</v>
      </c>
      <c r="L29" s="3" t="n">
        <f aca="false">IF(D29="","",IF(D29-C29&lt;0,"",D29-C29))</f>
        <v>9</v>
      </c>
      <c r="M29" s="4" t="n">
        <f aca="false">G29*I29</f>
        <v>6890.4</v>
      </c>
      <c r="N29" s="5" t="n">
        <f aca="false">IF(J29="","",J29/G29*100)</f>
        <v>1.83908045977012</v>
      </c>
      <c r="O29" s="5" t="n">
        <f aca="false">(H29-I29)/H29*100</f>
        <v>7.53064798598949</v>
      </c>
      <c r="P29" s="3" t="n">
        <f aca="false">IF(OR(F29="Delivered",F29="Partially Delivered"),1,0)</f>
        <v>1</v>
      </c>
      <c r="Q29" s="3" t="n">
        <f aca="false">IF(F29="Cancelled",1,0)</f>
        <v>0</v>
      </c>
      <c r="R29" s="3" t="n">
        <f aca="false">IF(K29="Yes",1,0)</f>
        <v>1</v>
      </c>
    </row>
    <row r="30" customFormat="false" ht="15" hidden="false" customHeight="false" outlineLevel="0" collapsed="false">
      <c r="A30" s="0" t="s">
        <v>114</v>
      </c>
      <c r="B30" s="0" t="s">
        <v>26</v>
      </c>
      <c r="C30" s="2" t="s">
        <v>115</v>
      </c>
      <c r="D30" s="2" t="s">
        <v>116</v>
      </c>
      <c r="E30" s="3" t="s">
        <v>34</v>
      </c>
      <c r="F30" s="3" t="s">
        <v>29</v>
      </c>
      <c r="G30" s="0" t="n">
        <v>1265</v>
      </c>
      <c r="H30" s="4" t="n">
        <v>90.26</v>
      </c>
      <c r="I30" s="4" t="n">
        <v>79.47</v>
      </c>
      <c r="J30" s="0" t="n">
        <v>187</v>
      </c>
      <c r="K30" s="3" t="s">
        <v>24</v>
      </c>
      <c r="L30" s="3" t="n">
        <f aca="false">IF(D30="","",IF(D30-C30&lt;0,"",D30-C30))</f>
        <v>17</v>
      </c>
      <c r="M30" s="4" t="n">
        <f aca="false">G30*I30</f>
        <v>100529.55</v>
      </c>
      <c r="N30" s="5" t="n">
        <f aca="false">IF(J30="","",J30/G30*100)</f>
        <v>14.7826086956522</v>
      </c>
      <c r="O30" s="5" t="n">
        <f aca="false">(H30-I30)/H30*100</f>
        <v>11.9543540881897</v>
      </c>
      <c r="P30" s="3" t="n">
        <f aca="false">IF(OR(F30="Delivered",F30="Partially Delivered"),1,0)</f>
        <v>1</v>
      </c>
      <c r="Q30" s="3" t="n">
        <f aca="false">IF(F30="Cancelled",1,0)</f>
        <v>0</v>
      </c>
      <c r="R30" s="3" t="n">
        <f aca="false">IF(K30="Yes",1,0)</f>
        <v>1</v>
      </c>
    </row>
    <row r="31" customFormat="false" ht="15" hidden="false" customHeight="false" outlineLevel="0" collapsed="false">
      <c r="A31" s="0" t="s">
        <v>117</v>
      </c>
      <c r="B31" s="0" t="s">
        <v>46</v>
      </c>
      <c r="C31" s="2" t="s">
        <v>118</v>
      </c>
      <c r="D31" s="2"/>
      <c r="E31" s="3" t="s">
        <v>34</v>
      </c>
      <c r="F31" s="3" t="s">
        <v>29</v>
      </c>
      <c r="G31" s="0" t="n">
        <v>1005</v>
      </c>
      <c r="H31" s="4" t="n">
        <v>80.55</v>
      </c>
      <c r="I31" s="4" t="n">
        <v>73.31</v>
      </c>
      <c r="J31" s="0" t="n">
        <v>30</v>
      </c>
      <c r="K31" s="3" t="s">
        <v>24</v>
      </c>
      <c r="L31" s="0" t="str">
        <f aca="false">IF(D31="","",IF(D31-C31&lt;0,"",D31-C31))</f>
        <v/>
      </c>
      <c r="M31" s="4" t="n">
        <f aca="false">G31*I31</f>
        <v>73676.55</v>
      </c>
      <c r="N31" s="5" t="n">
        <f aca="false">IF(J31="","",J31/G31*100)</f>
        <v>2.98507462686567</v>
      </c>
      <c r="O31" s="5" t="n">
        <f aca="false">(H31-I31)/H31*100</f>
        <v>8.98820608317814</v>
      </c>
      <c r="P31" s="3" t="n">
        <f aca="false">IF(OR(F31="Delivered",F31="Partially Delivered"),1,0)</f>
        <v>1</v>
      </c>
      <c r="Q31" s="3" t="n">
        <f aca="false">IF(F31="Cancelled",1,0)</f>
        <v>0</v>
      </c>
      <c r="R31" s="3" t="n">
        <f aca="false">IF(K31="Yes",1,0)</f>
        <v>1</v>
      </c>
    </row>
    <row r="32" customFormat="false" ht="15" hidden="false" customHeight="false" outlineLevel="0" collapsed="false">
      <c r="A32" s="0" t="s">
        <v>119</v>
      </c>
      <c r="B32" s="0" t="s">
        <v>31</v>
      </c>
      <c r="C32" s="2" t="s">
        <v>120</v>
      </c>
      <c r="D32" s="2" t="s">
        <v>121</v>
      </c>
      <c r="E32" s="3" t="s">
        <v>71</v>
      </c>
      <c r="F32" s="3" t="s">
        <v>29</v>
      </c>
      <c r="G32" s="0" t="n">
        <v>326</v>
      </c>
      <c r="H32" s="4" t="n">
        <v>18.1</v>
      </c>
      <c r="I32" s="4" t="n">
        <v>15.92</v>
      </c>
      <c r="K32" s="3" t="s">
        <v>44</v>
      </c>
      <c r="L32" s="3" t="n">
        <f aca="false">IF(D32="","",IF(D32-C32&lt;0,"",D32-C32))</f>
        <v>14</v>
      </c>
      <c r="M32" s="4" t="n">
        <f aca="false">G32*I32</f>
        <v>5189.92</v>
      </c>
      <c r="N32" s="5" t="str">
        <f aca="false">IF(J32="","",J32/G32*100)</f>
        <v/>
      </c>
      <c r="O32" s="5" t="n">
        <f aca="false">(H32-I32)/H32*100</f>
        <v>12.0441988950276</v>
      </c>
      <c r="P32" s="3" t="n">
        <f aca="false">IF(OR(F32="Delivered",F32="Partially Delivered"),1,0)</f>
        <v>1</v>
      </c>
      <c r="Q32" s="3" t="n">
        <f aca="false">IF(F32="Cancelled",1,0)</f>
        <v>0</v>
      </c>
      <c r="R32" s="3" t="n">
        <f aca="false">IF(K32="Yes",1,0)</f>
        <v>0</v>
      </c>
    </row>
    <row r="33" customFormat="false" ht="15" hidden="false" customHeight="false" outlineLevel="0" collapsed="false">
      <c r="A33" s="0" t="s">
        <v>122</v>
      </c>
      <c r="B33" s="0" t="s">
        <v>19</v>
      </c>
      <c r="C33" s="2" t="s">
        <v>123</v>
      </c>
      <c r="D33" s="2" t="s">
        <v>124</v>
      </c>
      <c r="E33" s="3" t="s">
        <v>22</v>
      </c>
      <c r="F33" s="3" t="s">
        <v>29</v>
      </c>
      <c r="G33" s="0" t="n">
        <v>1234</v>
      </c>
      <c r="H33" s="4" t="n">
        <v>17.64</v>
      </c>
      <c r="I33" s="4" t="n">
        <v>15.66</v>
      </c>
      <c r="J33" s="0" t="n">
        <v>26</v>
      </c>
      <c r="K33" s="3" t="s">
        <v>24</v>
      </c>
      <c r="L33" s="3" t="n">
        <f aca="false">IF(D33="","",IF(D33-C33&lt;0,"",D33-C33))</f>
        <v>8</v>
      </c>
      <c r="M33" s="4" t="n">
        <f aca="false">G33*I33</f>
        <v>19324.44</v>
      </c>
      <c r="N33" s="5" t="n">
        <f aca="false">IF(J33="","",J33/G33*100)</f>
        <v>2.10696920583468</v>
      </c>
      <c r="O33" s="5" t="n">
        <f aca="false">(H33-I33)/H33*100</f>
        <v>11.2244897959184</v>
      </c>
      <c r="P33" s="3" t="n">
        <f aca="false">IF(OR(F33="Delivered",F33="Partially Delivered"),1,0)</f>
        <v>1</v>
      </c>
      <c r="Q33" s="3" t="n">
        <f aca="false">IF(F33="Cancelled",1,0)</f>
        <v>0</v>
      </c>
      <c r="R33" s="3" t="n">
        <f aca="false">IF(K33="Yes",1,0)</f>
        <v>1</v>
      </c>
    </row>
    <row r="34" customFormat="false" ht="15" hidden="false" customHeight="false" outlineLevel="0" collapsed="false">
      <c r="A34" s="0" t="s">
        <v>125</v>
      </c>
      <c r="B34" s="0" t="s">
        <v>46</v>
      </c>
      <c r="C34" s="2" t="s">
        <v>126</v>
      </c>
      <c r="D34" s="2" t="s">
        <v>127</v>
      </c>
      <c r="E34" s="3" t="s">
        <v>34</v>
      </c>
      <c r="F34" s="3" t="s">
        <v>29</v>
      </c>
      <c r="G34" s="0" t="n">
        <v>509</v>
      </c>
      <c r="H34" s="4" t="n">
        <v>101.27</v>
      </c>
      <c r="I34" s="4" t="n">
        <v>97.82</v>
      </c>
      <c r="J34" s="0" t="n">
        <v>19</v>
      </c>
      <c r="K34" s="3" t="s">
        <v>24</v>
      </c>
      <c r="L34" s="3" t="n">
        <f aca="false">IF(D34="","",IF(D34-C34&lt;0,"",D34-C34))</f>
        <v>16</v>
      </c>
      <c r="M34" s="4" t="n">
        <f aca="false">G34*I34</f>
        <v>49790.38</v>
      </c>
      <c r="N34" s="5" t="n">
        <f aca="false">IF(J34="","",J34/G34*100)</f>
        <v>3.7328094302554</v>
      </c>
      <c r="O34" s="5" t="n">
        <f aca="false">(H34-I34)/H34*100</f>
        <v>3.40673447220303</v>
      </c>
      <c r="P34" s="3" t="n">
        <f aca="false">IF(OR(F34="Delivered",F34="Partially Delivered"),1,0)</f>
        <v>1</v>
      </c>
      <c r="Q34" s="3" t="n">
        <f aca="false">IF(F34="Cancelled",1,0)</f>
        <v>0</v>
      </c>
      <c r="R34" s="3" t="n">
        <f aca="false">IF(K34="Yes",1,0)</f>
        <v>1</v>
      </c>
    </row>
    <row r="35" customFormat="false" ht="15" hidden="false" customHeight="false" outlineLevel="0" collapsed="false">
      <c r="A35" s="0" t="s">
        <v>128</v>
      </c>
      <c r="B35" s="0" t="s">
        <v>19</v>
      </c>
      <c r="C35" s="2" t="s">
        <v>129</v>
      </c>
      <c r="D35" s="2" t="s">
        <v>130</v>
      </c>
      <c r="E35" s="3" t="s">
        <v>39</v>
      </c>
      <c r="F35" s="3" t="s">
        <v>29</v>
      </c>
      <c r="G35" s="0" t="n">
        <v>1387</v>
      </c>
      <c r="H35" s="4" t="n">
        <v>48.71</v>
      </c>
      <c r="I35" s="4" t="n">
        <v>43.71</v>
      </c>
      <c r="J35" s="0" t="n">
        <v>27</v>
      </c>
      <c r="K35" s="3" t="s">
        <v>24</v>
      </c>
      <c r="L35" s="3" t="n">
        <f aca="false">IF(D35="","",IF(D35-C35&lt;0,"",D35-C35))</f>
        <v>1</v>
      </c>
      <c r="M35" s="4" t="n">
        <f aca="false">G35*I35</f>
        <v>60625.77</v>
      </c>
      <c r="N35" s="5" t="n">
        <f aca="false">IF(J35="","",J35/G35*100)</f>
        <v>1.94664744051911</v>
      </c>
      <c r="O35" s="5" t="n">
        <f aca="false">(H35-I35)/H35*100</f>
        <v>10.2648326832273</v>
      </c>
      <c r="P35" s="3" t="n">
        <f aca="false">IF(OR(F35="Delivered",F35="Partially Delivered"),1,0)</f>
        <v>1</v>
      </c>
      <c r="Q35" s="3" t="n">
        <f aca="false">IF(F35="Cancelled",1,0)</f>
        <v>0</v>
      </c>
      <c r="R35" s="3" t="n">
        <f aca="false">IF(K35="Yes",1,0)</f>
        <v>1</v>
      </c>
    </row>
    <row r="36" customFormat="false" ht="15" hidden="false" customHeight="false" outlineLevel="0" collapsed="false">
      <c r="A36" s="0" t="s">
        <v>131</v>
      </c>
      <c r="B36" s="0" t="s">
        <v>19</v>
      </c>
      <c r="C36" s="2" t="s">
        <v>69</v>
      </c>
      <c r="D36" s="2" t="s">
        <v>132</v>
      </c>
      <c r="E36" s="3" t="s">
        <v>34</v>
      </c>
      <c r="F36" s="3" t="s">
        <v>29</v>
      </c>
      <c r="G36" s="0" t="n">
        <v>71</v>
      </c>
      <c r="H36" s="4" t="n">
        <v>46.39</v>
      </c>
      <c r="I36" s="4" t="n">
        <v>43.18</v>
      </c>
      <c r="J36" s="0" t="n">
        <v>0</v>
      </c>
      <c r="K36" s="3" t="s">
        <v>24</v>
      </c>
      <c r="L36" s="3" t="n">
        <f aca="false">IF(D36="","",IF(D36-C36&lt;0,"",D36-C36))</f>
        <v>8</v>
      </c>
      <c r="M36" s="4" t="n">
        <f aca="false">G36*I36</f>
        <v>3065.78</v>
      </c>
      <c r="N36" s="5" t="n">
        <f aca="false">IF(J36="","",J36/G36*100)</f>
        <v>0</v>
      </c>
      <c r="O36" s="5" t="n">
        <f aca="false">(H36-I36)/H36*100</f>
        <v>6.91959474024575</v>
      </c>
      <c r="P36" s="3" t="n">
        <f aca="false">IF(OR(F36="Delivered",F36="Partially Delivered"),1,0)</f>
        <v>1</v>
      </c>
      <c r="Q36" s="3" t="n">
        <f aca="false">IF(F36="Cancelled",1,0)</f>
        <v>0</v>
      </c>
      <c r="R36" s="3" t="n">
        <f aca="false">IF(K36="Yes",1,0)</f>
        <v>1</v>
      </c>
    </row>
    <row r="37" customFormat="false" ht="15" hidden="false" customHeight="false" outlineLevel="0" collapsed="false">
      <c r="A37" s="0" t="s">
        <v>133</v>
      </c>
      <c r="B37" s="0" t="s">
        <v>46</v>
      </c>
      <c r="C37" s="2" t="s">
        <v>134</v>
      </c>
      <c r="D37" s="2" t="s">
        <v>135</v>
      </c>
      <c r="E37" s="3" t="s">
        <v>22</v>
      </c>
      <c r="F37" s="3" t="s">
        <v>29</v>
      </c>
      <c r="G37" s="0" t="n">
        <v>302</v>
      </c>
      <c r="H37" s="4" t="n">
        <v>87.73</v>
      </c>
      <c r="I37" s="4" t="n">
        <v>81.52</v>
      </c>
      <c r="J37" s="0" t="n">
        <v>9</v>
      </c>
      <c r="K37" s="3" t="s">
        <v>24</v>
      </c>
      <c r="L37" s="3" t="n">
        <f aca="false">IF(D37="","",IF(D37-C37&lt;0,"",D37-C37))</f>
        <v>8</v>
      </c>
      <c r="M37" s="4" t="n">
        <f aca="false">G37*I37</f>
        <v>24619.04</v>
      </c>
      <c r="N37" s="5" t="n">
        <f aca="false">IF(J37="","",J37/G37*100)</f>
        <v>2.98013245033113</v>
      </c>
      <c r="O37" s="5" t="n">
        <f aca="false">(H37-I37)/H37*100</f>
        <v>7.07853641855695</v>
      </c>
      <c r="P37" s="3" t="n">
        <f aca="false">IF(OR(F37="Delivered",F37="Partially Delivered"),1,0)</f>
        <v>1</v>
      </c>
      <c r="Q37" s="3" t="n">
        <f aca="false">IF(F37="Cancelled",1,0)</f>
        <v>0</v>
      </c>
      <c r="R37" s="3" t="n">
        <f aca="false">IF(K37="Yes",1,0)</f>
        <v>1</v>
      </c>
    </row>
    <row r="38" customFormat="false" ht="15" hidden="false" customHeight="false" outlineLevel="0" collapsed="false">
      <c r="A38" s="0" t="s">
        <v>136</v>
      </c>
      <c r="B38" s="0" t="s">
        <v>46</v>
      </c>
      <c r="C38" s="2" t="s">
        <v>120</v>
      </c>
      <c r="D38" s="2" t="s">
        <v>137</v>
      </c>
      <c r="E38" s="3" t="s">
        <v>22</v>
      </c>
      <c r="F38" s="3" t="s">
        <v>62</v>
      </c>
      <c r="G38" s="0" t="n">
        <v>797</v>
      </c>
      <c r="H38" s="4" t="n">
        <v>99.54</v>
      </c>
      <c r="I38" s="4" t="n">
        <v>91.37</v>
      </c>
      <c r="J38" s="0" t="n">
        <v>18</v>
      </c>
      <c r="K38" s="3" t="s">
        <v>24</v>
      </c>
      <c r="L38" s="3" t="n">
        <f aca="false">IF(D38="","",IF(D38-C38&lt;0,"",D38-C38))</f>
        <v>19</v>
      </c>
      <c r="M38" s="4" t="n">
        <f aca="false">G38*I38</f>
        <v>72821.89</v>
      </c>
      <c r="N38" s="5" t="n">
        <f aca="false">IF(J38="","",J38/G38*100)</f>
        <v>2.25846925972397</v>
      </c>
      <c r="O38" s="5" t="n">
        <f aca="false">(H38-I38)/H38*100</f>
        <v>8.20775567611011</v>
      </c>
      <c r="P38" s="3" t="n">
        <f aca="false">IF(OR(F38="Delivered",F38="Partially Delivered"),1,0)</f>
        <v>0</v>
      </c>
      <c r="Q38" s="3" t="n">
        <f aca="false">IF(F38="Cancelled",1,0)</f>
        <v>0</v>
      </c>
      <c r="R38" s="3" t="n">
        <f aca="false">IF(K38="Yes",1,0)</f>
        <v>1</v>
      </c>
    </row>
    <row r="39" customFormat="false" ht="15" hidden="false" customHeight="false" outlineLevel="0" collapsed="false">
      <c r="A39" s="0" t="s">
        <v>138</v>
      </c>
      <c r="B39" s="0" t="s">
        <v>36</v>
      </c>
      <c r="C39" s="2" t="s">
        <v>139</v>
      </c>
      <c r="D39" s="2" t="s">
        <v>140</v>
      </c>
      <c r="E39" s="3" t="s">
        <v>22</v>
      </c>
      <c r="F39" s="3" t="s">
        <v>62</v>
      </c>
      <c r="G39" s="0" t="n">
        <v>906</v>
      </c>
      <c r="H39" s="4" t="n">
        <v>101.21</v>
      </c>
      <c r="I39" s="4" t="n">
        <v>90.9</v>
      </c>
      <c r="J39" s="0" t="n">
        <v>94</v>
      </c>
      <c r="K39" s="3" t="s">
        <v>24</v>
      </c>
      <c r="L39" s="3" t="n">
        <f aca="false">IF(D39="","",IF(D39-C39&lt;0,"",D39-C39))</f>
        <v>18</v>
      </c>
      <c r="M39" s="4" t="n">
        <f aca="false">G39*I39</f>
        <v>82355.4</v>
      </c>
      <c r="N39" s="5" t="n">
        <f aca="false">IF(J39="","",J39/G39*100)</f>
        <v>10.3752759381898</v>
      </c>
      <c r="O39" s="5" t="n">
        <f aca="false">(H39-I39)/H39*100</f>
        <v>10.1867404406679</v>
      </c>
      <c r="P39" s="3" t="n">
        <f aca="false">IF(OR(F39="Delivered",F39="Partially Delivered"),1,0)</f>
        <v>0</v>
      </c>
      <c r="Q39" s="3" t="n">
        <f aca="false">IF(F39="Cancelled",1,0)</f>
        <v>0</v>
      </c>
      <c r="R39" s="3" t="n">
        <f aca="false">IF(K39="Yes",1,0)</f>
        <v>1</v>
      </c>
    </row>
    <row r="40" customFormat="false" ht="15" hidden="false" customHeight="false" outlineLevel="0" collapsed="false">
      <c r="A40" s="0" t="s">
        <v>141</v>
      </c>
      <c r="B40" s="0" t="s">
        <v>46</v>
      </c>
      <c r="C40" s="2" t="s">
        <v>142</v>
      </c>
      <c r="D40" s="2" t="s">
        <v>113</v>
      </c>
      <c r="E40" s="3" t="s">
        <v>22</v>
      </c>
      <c r="F40" s="3" t="s">
        <v>29</v>
      </c>
      <c r="G40" s="0" t="n">
        <v>1634</v>
      </c>
      <c r="H40" s="4" t="n">
        <v>80.53</v>
      </c>
      <c r="I40" s="4" t="n">
        <v>76.15</v>
      </c>
      <c r="J40" s="0" t="n">
        <v>50</v>
      </c>
      <c r="K40" s="3" t="s">
        <v>24</v>
      </c>
      <c r="L40" s="3" t="n">
        <f aca="false">IF(D40="","",IF(D40-C40&lt;0,"",D40-C40))</f>
        <v>14</v>
      </c>
      <c r="M40" s="4" t="n">
        <f aca="false">G40*I40</f>
        <v>124429.1</v>
      </c>
      <c r="N40" s="5" t="n">
        <f aca="false">IF(J40="","",J40/G40*100)</f>
        <v>3.05997552019584</v>
      </c>
      <c r="O40" s="5" t="n">
        <f aca="false">(H40-I40)/H40*100</f>
        <v>5.43896684465416</v>
      </c>
      <c r="P40" s="3" t="n">
        <f aca="false">IF(OR(F40="Delivered",F40="Partially Delivered"),1,0)</f>
        <v>1</v>
      </c>
      <c r="Q40" s="3" t="n">
        <f aca="false">IF(F40="Cancelled",1,0)</f>
        <v>0</v>
      </c>
      <c r="R40" s="3" t="n">
        <f aca="false">IF(K40="Yes",1,0)</f>
        <v>1</v>
      </c>
    </row>
    <row r="41" customFormat="false" ht="15" hidden="false" customHeight="false" outlineLevel="0" collapsed="false">
      <c r="A41" s="0" t="s">
        <v>143</v>
      </c>
      <c r="B41" s="0" t="s">
        <v>46</v>
      </c>
      <c r="C41" s="2" t="s">
        <v>144</v>
      </c>
      <c r="D41" s="2"/>
      <c r="E41" s="3" t="s">
        <v>22</v>
      </c>
      <c r="F41" s="3" t="s">
        <v>29</v>
      </c>
      <c r="G41" s="0" t="n">
        <v>524</v>
      </c>
      <c r="H41" s="4" t="n">
        <v>46.28</v>
      </c>
      <c r="I41" s="4" t="n">
        <v>39.65</v>
      </c>
      <c r="J41" s="0" t="n">
        <v>14</v>
      </c>
      <c r="K41" s="3" t="s">
        <v>24</v>
      </c>
      <c r="L41" s="0" t="str">
        <f aca="false">IF(D41="","",IF(D41-C41&lt;0,"",D41-C41))</f>
        <v/>
      </c>
      <c r="M41" s="4" t="n">
        <f aca="false">G41*I41</f>
        <v>20776.6</v>
      </c>
      <c r="N41" s="5" t="n">
        <f aca="false">IF(J41="","",J41/G41*100)</f>
        <v>2.67175572519084</v>
      </c>
      <c r="O41" s="5" t="n">
        <f aca="false">(H41-I41)/H41*100</f>
        <v>14.3258426966292</v>
      </c>
      <c r="P41" s="3" t="n">
        <f aca="false">IF(OR(F41="Delivered",F41="Partially Delivered"),1,0)</f>
        <v>1</v>
      </c>
      <c r="Q41" s="3" t="n">
        <f aca="false">IF(F41="Cancelled",1,0)</f>
        <v>0</v>
      </c>
      <c r="R41" s="3" t="n">
        <f aca="false">IF(K41="Yes",1,0)</f>
        <v>1</v>
      </c>
    </row>
    <row r="42" customFormat="false" ht="15" hidden="false" customHeight="false" outlineLevel="0" collapsed="false">
      <c r="A42" s="0" t="s">
        <v>145</v>
      </c>
      <c r="B42" s="0" t="s">
        <v>36</v>
      </c>
      <c r="C42" s="2" t="s">
        <v>53</v>
      </c>
      <c r="D42" s="2" t="s">
        <v>146</v>
      </c>
      <c r="E42" s="3" t="s">
        <v>71</v>
      </c>
      <c r="F42" s="3" t="s">
        <v>29</v>
      </c>
      <c r="G42" s="0" t="n">
        <v>1132</v>
      </c>
      <c r="H42" s="4" t="n">
        <v>17.78</v>
      </c>
      <c r="I42" s="4" t="n">
        <v>15.36</v>
      </c>
      <c r="J42" s="0" t="n">
        <v>96</v>
      </c>
      <c r="K42" s="3" t="s">
        <v>24</v>
      </c>
      <c r="L42" s="3" t="n">
        <f aca="false">IF(D42="","",IF(D42-C42&lt;0,"",D42-C42))</f>
        <v>12</v>
      </c>
      <c r="M42" s="4" t="n">
        <f aca="false">G42*I42</f>
        <v>17387.52</v>
      </c>
      <c r="N42" s="5" t="n">
        <f aca="false">IF(J42="","",J42/G42*100)</f>
        <v>8.48056537102474</v>
      </c>
      <c r="O42" s="5" t="n">
        <f aca="false">(H42-I42)/H42*100</f>
        <v>13.6107986501687</v>
      </c>
      <c r="P42" s="3" t="n">
        <f aca="false">IF(OR(F42="Delivered",F42="Partially Delivered"),1,0)</f>
        <v>1</v>
      </c>
      <c r="Q42" s="3" t="n">
        <f aca="false">IF(F42="Cancelled",1,0)</f>
        <v>0</v>
      </c>
      <c r="R42" s="3" t="n">
        <f aca="false">IF(K42="Yes",1,0)</f>
        <v>1</v>
      </c>
    </row>
    <row r="43" customFormat="false" ht="15" hidden="false" customHeight="false" outlineLevel="0" collapsed="false">
      <c r="A43" s="0" t="s">
        <v>147</v>
      </c>
      <c r="B43" s="0" t="s">
        <v>36</v>
      </c>
      <c r="C43" s="2" t="s">
        <v>148</v>
      </c>
      <c r="D43" s="2" t="s">
        <v>149</v>
      </c>
      <c r="E43" s="3" t="s">
        <v>22</v>
      </c>
      <c r="F43" s="3" t="s">
        <v>29</v>
      </c>
      <c r="G43" s="0" t="n">
        <v>560</v>
      </c>
      <c r="H43" s="4" t="n">
        <v>81.14</v>
      </c>
      <c r="I43" s="4" t="n">
        <v>77.87</v>
      </c>
      <c r="J43" s="0" t="n">
        <v>34</v>
      </c>
      <c r="K43" s="3" t="s">
        <v>44</v>
      </c>
      <c r="L43" s="3" t="n">
        <f aca="false">IF(D43="","",IF(D43-C43&lt;0,"",D43-C43))</f>
        <v>9</v>
      </c>
      <c r="M43" s="4" t="n">
        <f aca="false">G43*I43</f>
        <v>43607.2</v>
      </c>
      <c r="N43" s="5" t="n">
        <f aca="false">IF(J43="","",J43/G43*100)</f>
        <v>6.07142857142857</v>
      </c>
      <c r="O43" s="5" t="n">
        <f aca="false">(H43-I43)/H43*100</f>
        <v>4.03007148139019</v>
      </c>
      <c r="P43" s="3" t="n">
        <f aca="false">IF(OR(F43="Delivered",F43="Partially Delivered"),1,0)</f>
        <v>1</v>
      </c>
      <c r="Q43" s="3" t="n">
        <f aca="false">IF(F43="Cancelled",1,0)</f>
        <v>0</v>
      </c>
      <c r="R43" s="3" t="n">
        <f aca="false">IF(K43="Yes",1,0)</f>
        <v>0</v>
      </c>
    </row>
    <row r="44" customFormat="false" ht="15" hidden="false" customHeight="false" outlineLevel="0" collapsed="false">
      <c r="A44" s="0" t="s">
        <v>150</v>
      </c>
      <c r="B44" s="0" t="s">
        <v>31</v>
      </c>
      <c r="C44" s="2" t="s">
        <v>151</v>
      </c>
      <c r="D44" s="2" t="s">
        <v>152</v>
      </c>
      <c r="E44" s="3" t="s">
        <v>71</v>
      </c>
      <c r="F44" s="3" t="s">
        <v>29</v>
      </c>
      <c r="G44" s="0" t="n">
        <v>1755</v>
      </c>
      <c r="H44" s="4" t="n">
        <v>63.87</v>
      </c>
      <c r="I44" s="4" t="n">
        <v>58.4</v>
      </c>
      <c r="J44" s="0" t="n">
        <v>85</v>
      </c>
      <c r="K44" s="3" t="s">
        <v>24</v>
      </c>
      <c r="L44" s="3" t="n">
        <f aca="false">IF(D44="","",IF(D44-C44&lt;0,"",D44-C44))</f>
        <v>8</v>
      </c>
      <c r="M44" s="4" t="n">
        <f aca="false">G44*I44</f>
        <v>102492</v>
      </c>
      <c r="N44" s="5" t="n">
        <f aca="false">IF(J44="","",J44/G44*100)</f>
        <v>4.84330484330484</v>
      </c>
      <c r="O44" s="5" t="n">
        <f aca="false">(H44-I44)/H44*100</f>
        <v>8.5642711758259</v>
      </c>
      <c r="P44" s="3" t="n">
        <f aca="false">IF(OR(F44="Delivered",F44="Partially Delivered"),1,0)</f>
        <v>1</v>
      </c>
      <c r="Q44" s="3" t="n">
        <f aca="false">IF(F44="Cancelled",1,0)</f>
        <v>0</v>
      </c>
      <c r="R44" s="3" t="n">
        <f aca="false">IF(K44="Yes",1,0)</f>
        <v>1</v>
      </c>
    </row>
    <row r="45" customFormat="false" ht="15" hidden="false" customHeight="false" outlineLevel="0" collapsed="false">
      <c r="A45" s="0" t="s">
        <v>153</v>
      </c>
      <c r="B45" s="0" t="s">
        <v>46</v>
      </c>
      <c r="C45" s="2" t="s">
        <v>154</v>
      </c>
      <c r="D45" s="2" t="s">
        <v>155</v>
      </c>
      <c r="E45" s="3" t="s">
        <v>34</v>
      </c>
      <c r="F45" s="3" t="s">
        <v>29</v>
      </c>
      <c r="G45" s="0" t="n">
        <v>1549</v>
      </c>
      <c r="H45" s="4" t="n">
        <v>48.9</v>
      </c>
      <c r="I45" s="4" t="n">
        <v>42.42</v>
      </c>
      <c r="J45" s="0" t="n">
        <v>48</v>
      </c>
      <c r="K45" s="3" t="s">
        <v>24</v>
      </c>
      <c r="L45" s="3" t="n">
        <f aca="false">IF(D45="","",IF(D45-C45&lt;0,"",D45-C45))</f>
        <v>7</v>
      </c>
      <c r="M45" s="4" t="n">
        <f aca="false">G45*I45</f>
        <v>65708.58</v>
      </c>
      <c r="N45" s="5" t="n">
        <f aca="false">IF(J45="","",J45/G45*100)</f>
        <v>3.09877340219496</v>
      </c>
      <c r="O45" s="5" t="n">
        <f aca="false">(H45-I45)/H45*100</f>
        <v>13.2515337423313</v>
      </c>
      <c r="P45" s="3" t="n">
        <f aca="false">IF(OR(F45="Delivered",F45="Partially Delivered"),1,0)</f>
        <v>1</v>
      </c>
      <c r="Q45" s="3" t="n">
        <f aca="false">IF(F45="Cancelled",1,0)</f>
        <v>0</v>
      </c>
      <c r="R45" s="3" t="n">
        <f aca="false">IF(K45="Yes",1,0)</f>
        <v>1</v>
      </c>
    </row>
    <row r="46" customFormat="false" ht="15" hidden="false" customHeight="false" outlineLevel="0" collapsed="false">
      <c r="A46" s="0" t="s">
        <v>156</v>
      </c>
      <c r="B46" s="0" t="s">
        <v>26</v>
      </c>
      <c r="C46" s="2" t="s">
        <v>157</v>
      </c>
      <c r="D46" s="2" t="s">
        <v>158</v>
      </c>
      <c r="E46" s="3" t="s">
        <v>34</v>
      </c>
      <c r="F46" s="3" t="s">
        <v>29</v>
      </c>
      <c r="G46" s="0" t="n">
        <v>749</v>
      </c>
      <c r="H46" s="4" t="n">
        <v>97.07</v>
      </c>
      <c r="I46" s="4" t="n">
        <v>94.16</v>
      </c>
      <c r="J46" s="0" t="n">
        <v>123</v>
      </c>
      <c r="K46" s="3" t="s">
        <v>24</v>
      </c>
      <c r="L46" s="3" t="n">
        <f aca="false">IF(D46="","",IF(D46-C46&lt;0,"",D46-C46))</f>
        <v>18</v>
      </c>
      <c r="M46" s="4" t="n">
        <f aca="false">G46*I46</f>
        <v>70525.84</v>
      </c>
      <c r="N46" s="5" t="n">
        <f aca="false">IF(J46="","",J46/G46*100)</f>
        <v>16.4218958611482</v>
      </c>
      <c r="O46" s="5" t="n">
        <f aca="false">(H46-I46)/H46*100</f>
        <v>2.99783661275368</v>
      </c>
      <c r="P46" s="3" t="n">
        <f aca="false">IF(OR(F46="Delivered",F46="Partially Delivered"),1,0)</f>
        <v>1</v>
      </c>
      <c r="Q46" s="3" t="n">
        <f aca="false">IF(F46="Cancelled",1,0)</f>
        <v>0</v>
      </c>
      <c r="R46" s="3" t="n">
        <f aca="false">IF(K46="Yes",1,0)</f>
        <v>1</v>
      </c>
    </row>
    <row r="47" customFormat="false" ht="15" hidden="false" customHeight="false" outlineLevel="0" collapsed="false">
      <c r="A47" s="0" t="s">
        <v>159</v>
      </c>
      <c r="B47" s="0" t="s">
        <v>19</v>
      </c>
      <c r="C47" s="2" t="s">
        <v>160</v>
      </c>
      <c r="D47" s="2"/>
      <c r="E47" s="3" t="s">
        <v>71</v>
      </c>
      <c r="F47" s="3" t="s">
        <v>29</v>
      </c>
      <c r="G47" s="0" t="n">
        <v>1025</v>
      </c>
      <c r="H47" s="4" t="n">
        <v>21.11</v>
      </c>
      <c r="I47" s="4" t="n">
        <v>19.25</v>
      </c>
      <c r="J47" s="0" t="n">
        <v>15</v>
      </c>
      <c r="K47" s="3" t="s">
        <v>24</v>
      </c>
      <c r="L47" s="0" t="str">
        <f aca="false">IF(D47="","",IF(D47-C47&lt;0,"",D47-C47))</f>
        <v/>
      </c>
      <c r="M47" s="4" t="n">
        <f aca="false">G47*I47</f>
        <v>19731.25</v>
      </c>
      <c r="N47" s="5" t="n">
        <f aca="false">IF(J47="","",J47/G47*100)</f>
        <v>1.46341463414634</v>
      </c>
      <c r="O47" s="5" t="n">
        <f aca="false">(H47-I47)/H47*100</f>
        <v>8.810990052108</v>
      </c>
      <c r="P47" s="3" t="n">
        <f aca="false">IF(OR(F47="Delivered",F47="Partially Delivered"),1,0)</f>
        <v>1</v>
      </c>
      <c r="Q47" s="3" t="n">
        <f aca="false">IF(F47="Cancelled",1,0)</f>
        <v>0</v>
      </c>
      <c r="R47" s="3" t="n">
        <f aca="false">IF(K47="Yes",1,0)</f>
        <v>1</v>
      </c>
    </row>
    <row r="48" customFormat="false" ht="15" hidden="false" customHeight="false" outlineLevel="0" collapsed="false">
      <c r="A48" s="0" t="s">
        <v>161</v>
      </c>
      <c r="B48" s="0" t="s">
        <v>36</v>
      </c>
      <c r="C48" s="2" t="s">
        <v>67</v>
      </c>
      <c r="D48" s="2" t="s">
        <v>162</v>
      </c>
      <c r="E48" s="3" t="s">
        <v>43</v>
      </c>
      <c r="F48" s="3" t="s">
        <v>29</v>
      </c>
      <c r="G48" s="0" t="n">
        <v>1856</v>
      </c>
      <c r="H48" s="4" t="n">
        <v>59.77</v>
      </c>
      <c r="I48" s="4" t="n">
        <v>50.81</v>
      </c>
      <c r="J48" s="0" t="n">
        <v>191</v>
      </c>
      <c r="K48" s="3" t="s">
        <v>24</v>
      </c>
      <c r="L48" s="3" t="n">
        <f aca="false">IF(D48="","",IF(D48-C48&lt;0,"",D48-C48))</f>
        <v>7</v>
      </c>
      <c r="M48" s="4" t="n">
        <f aca="false">G48*I48</f>
        <v>94303.36</v>
      </c>
      <c r="N48" s="5" t="n">
        <f aca="false">IF(J48="","",J48/G48*100)</f>
        <v>10.2909482758621</v>
      </c>
      <c r="O48" s="5" t="n">
        <f aca="false">(H48-I48)/H48*100</f>
        <v>14.990798059227</v>
      </c>
      <c r="P48" s="3" t="n">
        <f aca="false">IF(OR(F48="Delivered",F48="Partially Delivered"),1,0)</f>
        <v>1</v>
      </c>
      <c r="Q48" s="3" t="n">
        <f aca="false">IF(F48="Cancelled",1,0)</f>
        <v>0</v>
      </c>
      <c r="R48" s="3" t="n">
        <f aca="false">IF(K48="Yes",1,0)</f>
        <v>1</v>
      </c>
    </row>
    <row r="49" customFormat="false" ht="15" hidden="false" customHeight="false" outlineLevel="0" collapsed="false">
      <c r="A49" s="0" t="s">
        <v>163</v>
      </c>
      <c r="B49" s="0" t="s">
        <v>46</v>
      </c>
      <c r="C49" s="2" t="s">
        <v>164</v>
      </c>
      <c r="D49" s="2" t="s">
        <v>165</v>
      </c>
      <c r="E49" s="3" t="s">
        <v>22</v>
      </c>
      <c r="F49" s="3" t="s">
        <v>29</v>
      </c>
      <c r="G49" s="0" t="n">
        <v>239</v>
      </c>
      <c r="H49" s="4" t="n">
        <v>11.46</v>
      </c>
      <c r="I49" s="4" t="n">
        <v>11.28</v>
      </c>
      <c r="J49" s="0" t="n">
        <v>4</v>
      </c>
      <c r="K49" s="3" t="s">
        <v>24</v>
      </c>
      <c r="L49" s="3" t="n">
        <f aca="false">IF(D49="","",IF(D49-C49&lt;0,"",D49-C49))</f>
        <v>16</v>
      </c>
      <c r="M49" s="4" t="n">
        <f aca="false">G49*I49</f>
        <v>2695.92</v>
      </c>
      <c r="N49" s="5" t="n">
        <f aca="false">IF(J49="","",J49/G49*100)</f>
        <v>1.67364016736402</v>
      </c>
      <c r="O49" s="5" t="n">
        <f aca="false">(H49-I49)/H49*100</f>
        <v>1.57068062827226</v>
      </c>
      <c r="P49" s="3" t="n">
        <f aca="false">IF(OR(F49="Delivered",F49="Partially Delivered"),1,0)</f>
        <v>1</v>
      </c>
      <c r="Q49" s="3" t="n">
        <f aca="false">IF(F49="Cancelled",1,0)</f>
        <v>0</v>
      </c>
      <c r="R49" s="3" t="n">
        <f aca="false">IF(K49="Yes",1,0)</f>
        <v>1</v>
      </c>
    </row>
    <row r="50" customFormat="false" ht="15" hidden="false" customHeight="false" outlineLevel="0" collapsed="false">
      <c r="A50" s="0" t="s">
        <v>166</v>
      </c>
      <c r="B50" s="0" t="s">
        <v>26</v>
      </c>
      <c r="C50" s="2" t="s">
        <v>167</v>
      </c>
      <c r="D50" s="2" t="s">
        <v>168</v>
      </c>
      <c r="E50" s="3" t="s">
        <v>22</v>
      </c>
      <c r="F50" s="3" t="s">
        <v>62</v>
      </c>
      <c r="G50" s="0" t="n">
        <v>1007</v>
      </c>
      <c r="H50" s="4" t="n">
        <v>52.44</v>
      </c>
      <c r="I50" s="4" t="n">
        <v>46.06</v>
      </c>
      <c r="J50" s="0" t="n">
        <v>167</v>
      </c>
      <c r="K50" s="3" t="s">
        <v>24</v>
      </c>
      <c r="L50" s="3" t="n">
        <f aca="false">IF(D50="","",IF(D50-C50&lt;0,"",D50-C50))</f>
        <v>19</v>
      </c>
      <c r="M50" s="4" t="n">
        <f aca="false">G50*I50</f>
        <v>46382.42</v>
      </c>
      <c r="N50" s="5" t="n">
        <f aca="false">IF(J50="","",J50/G50*100)</f>
        <v>16.583912611718</v>
      </c>
      <c r="O50" s="5" t="n">
        <f aca="false">(H50-I50)/H50*100</f>
        <v>12.1662852784134</v>
      </c>
      <c r="P50" s="3" t="n">
        <f aca="false">IF(OR(F50="Delivered",F50="Partially Delivered"),1,0)</f>
        <v>0</v>
      </c>
      <c r="Q50" s="3" t="n">
        <f aca="false">IF(F50="Cancelled",1,0)</f>
        <v>0</v>
      </c>
      <c r="R50" s="3" t="n">
        <f aca="false">IF(K50="Yes",1,0)</f>
        <v>1</v>
      </c>
    </row>
    <row r="51" customFormat="false" ht="15" hidden="false" customHeight="false" outlineLevel="0" collapsed="false">
      <c r="A51" s="0" t="s">
        <v>169</v>
      </c>
      <c r="B51" s="0" t="s">
        <v>19</v>
      </c>
      <c r="C51" s="2" t="s">
        <v>170</v>
      </c>
      <c r="D51" s="2"/>
      <c r="E51" s="3" t="s">
        <v>34</v>
      </c>
      <c r="F51" s="3" t="s">
        <v>62</v>
      </c>
      <c r="G51" s="0" t="n">
        <v>736</v>
      </c>
      <c r="H51" s="4" t="n">
        <v>16.2</v>
      </c>
      <c r="I51" s="4" t="n">
        <v>15.33</v>
      </c>
      <c r="J51" s="0" t="n">
        <v>18</v>
      </c>
      <c r="K51" s="3" t="s">
        <v>24</v>
      </c>
      <c r="L51" s="0" t="str">
        <f aca="false">IF(D51="","",IF(D51-C51&lt;0,"",D51-C51))</f>
        <v/>
      </c>
      <c r="M51" s="4" t="n">
        <f aca="false">G51*I51</f>
        <v>11282.88</v>
      </c>
      <c r="N51" s="5" t="n">
        <f aca="false">IF(J51="","",J51/G51*100)</f>
        <v>2.44565217391304</v>
      </c>
      <c r="O51" s="5" t="n">
        <f aca="false">(H51-I51)/H51*100</f>
        <v>5.37037037037037</v>
      </c>
      <c r="P51" s="3" t="n">
        <f aca="false">IF(OR(F51="Delivered",F51="Partially Delivered"),1,0)</f>
        <v>0</v>
      </c>
      <c r="Q51" s="3" t="n">
        <f aca="false">IF(F51="Cancelled",1,0)</f>
        <v>0</v>
      </c>
      <c r="R51" s="3" t="n">
        <f aca="false">IF(K51="Yes",1,0)</f>
        <v>1</v>
      </c>
    </row>
    <row r="52" customFormat="false" ht="15" hidden="false" customHeight="false" outlineLevel="0" collapsed="false">
      <c r="A52" s="0" t="s">
        <v>171</v>
      </c>
      <c r="B52" s="0" t="s">
        <v>46</v>
      </c>
      <c r="C52" s="2" t="s">
        <v>172</v>
      </c>
      <c r="D52" s="2" t="s">
        <v>173</v>
      </c>
      <c r="E52" s="3" t="s">
        <v>71</v>
      </c>
      <c r="F52" s="3" t="s">
        <v>29</v>
      </c>
      <c r="G52" s="0" t="n">
        <v>1007</v>
      </c>
      <c r="H52" s="4" t="n">
        <v>22.56</v>
      </c>
      <c r="I52" s="4" t="n">
        <v>19.59</v>
      </c>
      <c r="K52" s="3" t="s">
        <v>24</v>
      </c>
      <c r="L52" s="3" t="n">
        <f aca="false">IF(D52="","",IF(D52-C52&lt;0,"",D52-C52))</f>
        <v>10</v>
      </c>
      <c r="M52" s="4" t="n">
        <f aca="false">G52*I52</f>
        <v>19727.13</v>
      </c>
      <c r="N52" s="5" t="str">
        <f aca="false">IF(J52="","",J52/G52*100)</f>
        <v/>
      </c>
      <c r="O52" s="5" t="n">
        <f aca="false">(H52-I52)/H52*100</f>
        <v>13.1648936170213</v>
      </c>
      <c r="P52" s="3" t="n">
        <f aca="false">IF(OR(F52="Delivered",F52="Partially Delivered"),1,0)</f>
        <v>1</v>
      </c>
      <c r="Q52" s="3" t="n">
        <f aca="false">IF(F52="Cancelled",1,0)</f>
        <v>0</v>
      </c>
      <c r="R52" s="3" t="n">
        <f aca="false">IF(K52="Yes",1,0)</f>
        <v>1</v>
      </c>
    </row>
    <row r="53" customFormat="false" ht="15" hidden="false" customHeight="false" outlineLevel="0" collapsed="false">
      <c r="A53" s="0" t="s">
        <v>174</v>
      </c>
      <c r="B53" s="0" t="s">
        <v>26</v>
      </c>
      <c r="C53" s="2" t="s">
        <v>175</v>
      </c>
      <c r="D53" s="2"/>
      <c r="E53" s="3" t="s">
        <v>22</v>
      </c>
      <c r="F53" s="3" t="s">
        <v>29</v>
      </c>
      <c r="G53" s="0" t="n">
        <v>612</v>
      </c>
      <c r="H53" s="4" t="n">
        <v>20.99</v>
      </c>
      <c r="I53" s="4" t="n">
        <v>19.75</v>
      </c>
      <c r="J53" s="0" t="n">
        <v>102</v>
      </c>
      <c r="K53" s="3" t="s">
        <v>24</v>
      </c>
      <c r="L53" s="0" t="str">
        <f aca="false">IF(D53="","",IF(D53-C53&lt;0,"",D53-C53))</f>
        <v/>
      </c>
      <c r="M53" s="4" t="n">
        <f aca="false">G53*I53</f>
        <v>12087</v>
      </c>
      <c r="N53" s="5" t="n">
        <f aca="false">IF(J53="","",J53/G53*100)</f>
        <v>16.6666666666667</v>
      </c>
      <c r="O53" s="5" t="n">
        <f aca="false">(H53-I53)/H53*100</f>
        <v>5.90757503573129</v>
      </c>
      <c r="P53" s="3" t="n">
        <f aca="false">IF(OR(F53="Delivered",F53="Partially Delivered"),1,0)</f>
        <v>1</v>
      </c>
      <c r="Q53" s="3" t="n">
        <f aca="false">IF(F53="Cancelled",1,0)</f>
        <v>0</v>
      </c>
      <c r="R53" s="3" t="n">
        <f aca="false">IF(K53="Yes",1,0)</f>
        <v>1</v>
      </c>
    </row>
    <row r="54" customFormat="false" ht="15" hidden="false" customHeight="false" outlineLevel="0" collapsed="false">
      <c r="A54" s="0" t="s">
        <v>176</v>
      </c>
      <c r="B54" s="0" t="s">
        <v>19</v>
      </c>
      <c r="C54" s="2" t="s">
        <v>177</v>
      </c>
      <c r="D54" s="2" t="s">
        <v>152</v>
      </c>
      <c r="E54" s="3" t="s">
        <v>34</v>
      </c>
      <c r="F54" s="3" t="s">
        <v>62</v>
      </c>
      <c r="G54" s="0" t="n">
        <v>1949</v>
      </c>
      <c r="H54" s="4" t="n">
        <v>72.53</v>
      </c>
      <c r="I54" s="4" t="n">
        <v>63.26</v>
      </c>
      <c r="J54" s="0" t="n">
        <v>48</v>
      </c>
      <c r="K54" s="3" t="s">
        <v>44</v>
      </c>
      <c r="L54" s="3" t="n">
        <f aca="false">IF(D54="","",IF(D54-C54&lt;0,"",D54-C54))</f>
        <v>10</v>
      </c>
      <c r="M54" s="4" t="n">
        <f aca="false">G54*I54</f>
        <v>123293.74</v>
      </c>
      <c r="N54" s="5" t="n">
        <f aca="false">IF(J54="","",J54/G54*100)</f>
        <v>2.46280143663417</v>
      </c>
      <c r="O54" s="5" t="n">
        <f aca="false">(H54-I54)/H54*100</f>
        <v>12.780918240728</v>
      </c>
      <c r="P54" s="3" t="n">
        <f aca="false">IF(OR(F54="Delivered",F54="Partially Delivered"),1,0)</f>
        <v>0</v>
      </c>
      <c r="Q54" s="3" t="n">
        <f aca="false">IF(F54="Cancelled",1,0)</f>
        <v>0</v>
      </c>
      <c r="R54" s="3" t="n">
        <f aca="false">IF(K54="Yes",1,0)</f>
        <v>0</v>
      </c>
    </row>
    <row r="55" customFormat="false" ht="15" hidden="false" customHeight="false" outlineLevel="0" collapsed="false">
      <c r="A55" s="0" t="s">
        <v>178</v>
      </c>
      <c r="B55" s="0" t="s">
        <v>26</v>
      </c>
      <c r="C55" s="2" t="s">
        <v>179</v>
      </c>
      <c r="D55" s="2" t="s">
        <v>180</v>
      </c>
      <c r="E55" s="3" t="s">
        <v>22</v>
      </c>
      <c r="F55" s="3" t="s">
        <v>23</v>
      </c>
      <c r="G55" s="0" t="n">
        <v>1640</v>
      </c>
      <c r="H55" s="4" t="n">
        <v>77.92</v>
      </c>
      <c r="I55" s="4" t="n">
        <v>76.41</v>
      </c>
      <c r="J55" s="0" t="n">
        <v>262</v>
      </c>
      <c r="K55" s="3" t="s">
        <v>44</v>
      </c>
      <c r="L55" s="3" t="n">
        <f aca="false">IF(D55="","",IF(D55-C55&lt;0,"",D55-C55))</f>
        <v>6</v>
      </c>
      <c r="M55" s="4" t="n">
        <f aca="false">G55*I55</f>
        <v>125312.4</v>
      </c>
      <c r="N55" s="5" t="n">
        <f aca="false">IF(J55="","",J55/G55*100)</f>
        <v>15.9756097560976</v>
      </c>
      <c r="O55" s="5" t="n">
        <f aca="false">(H55-I55)/H55*100</f>
        <v>1.93788501026695</v>
      </c>
      <c r="P55" s="3" t="n">
        <f aca="false">IF(OR(F55="Delivered",F55="Partially Delivered"),1,0)</f>
        <v>0</v>
      </c>
      <c r="Q55" s="3" t="n">
        <f aca="false">IF(F55="Cancelled",1,0)</f>
        <v>1</v>
      </c>
      <c r="R55" s="3" t="n">
        <f aca="false">IF(K55="Yes",1,0)</f>
        <v>0</v>
      </c>
    </row>
    <row r="56" customFormat="false" ht="15" hidden="false" customHeight="false" outlineLevel="0" collapsed="false">
      <c r="A56" s="0" t="s">
        <v>181</v>
      </c>
      <c r="B56" s="0" t="s">
        <v>36</v>
      </c>
      <c r="C56" s="2" t="s">
        <v>182</v>
      </c>
      <c r="D56" s="2" t="s">
        <v>183</v>
      </c>
      <c r="E56" s="3" t="s">
        <v>71</v>
      </c>
      <c r="F56" s="3" t="s">
        <v>29</v>
      </c>
      <c r="G56" s="0" t="n">
        <v>1317</v>
      </c>
      <c r="H56" s="4" t="n">
        <v>68.13</v>
      </c>
      <c r="I56" s="4" t="n">
        <v>60.52</v>
      </c>
      <c r="J56" s="0" t="n">
        <v>136</v>
      </c>
      <c r="K56" s="3" t="s">
        <v>24</v>
      </c>
      <c r="L56" s="3" t="n">
        <f aca="false">IF(D56="","",IF(D56-C56&lt;0,"",D56-C56))</f>
        <v>18</v>
      </c>
      <c r="M56" s="4" t="n">
        <f aca="false">G56*I56</f>
        <v>79704.84</v>
      </c>
      <c r="N56" s="5" t="n">
        <f aca="false">IF(J56="","",J56/G56*100)</f>
        <v>10.3264996203493</v>
      </c>
      <c r="O56" s="5" t="n">
        <f aca="false">(H56-I56)/H56*100</f>
        <v>11.1698223983561</v>
      </c>
      <c r="P56" s="3" t="n">
        <f aca="false">IF(OR(F56="Delivered",F56="Partially Delivered"),1,0)</f>
        <v>1</v>
      </c>
      <c r="Q56" s="3" t="n">
        <f aca="false">IF(F56="Cancelled",1,0)</f>
        <v>0</v>
      </c>
      <c r="R56" s="3" t="n">
        <f aca="false">IF(K56="Yes",1,0)</f>
        <v>1</v>
      </c>
    </row>
    <row r="57" customFormat="false" ht="15" hidden="false" customHeight="false" outlineLevel="0" collapsed="false">
      <c r="A57" s="0" t="s">
        <v>184</v>
      </c>
      <c r="B57" s="0" t="s">
        <v>46</v>
      </c>
      <c r="C57" s="2" t="s">
        <v>38</v>
      </c>
      <c r="D57" s="2" t="s">
        <v>185</v>
      </c>
      <c r="E57" s="3" t="s">
        <v>43</v>
      </c>
      <c r="F57" s="3" t="s">
        <v>29</v>
      </c>
      <c r="G57" s="0" t="n">
        <v>881</v>
      </c>
      <c r="H57" s="4" t="n">
        <v>100.94</v>
      </c>
      <c r="I57" s="4" t="n">
        <v>95.05</v>
      </c>
      <c r="J57" s="0" t="n">
        <v>30</v>
      </c>
      <c r="K57" s="3" t="s">
        <v>24</v>
      </c>
      <c r="L57" s="3" t="n">
        <f aca="false">IF(D57="","",IF(D57-C57&lt;0,"",D57-C57))</f>
        <v>2</v>
      </c>
      <c r="M57" s="4" t="n">
        <f aca="false">G57*I57</f>
        <v>83739.05</v>
      </c>
      <c r="N57" s="5" t="n">
        <f aca="false">IF(J57="","",J57/G57*100)</f>
        <v>3.40522133938706</v>
      </c>
      <c r="O57" s="5" t="n">
        <f aca="false">(H57-I57)/H57*100</f>
        <v>5.83514959381811</v>
      </c>
      <c r="P57" s="3" t="n">
        <f aca="false">IF(OR(F57="Delivered",F57="Partially Delivered"),1,0)</f>
        <v>1</v>
      </c>
      <c r="Q57" s="3" t="n">
        <f aca="false">IF(F57="Cancelled",1,0)</f>
        <v>0</v>
      </c>
      <c r="R57" s="3" t="n">
        <f aca="false">IF(K57="Yes",1,0)</f>
        <v>1</v>
      </c>
    </row>
    <row r="58" customFormat="false" ht="15" hidden="false" customHeight="false" outlineLevel="0" collapsed="false">
      <c r="A58" s="0" t="s">
        <v>186</v>
      </c>
      <c r="B58" s="0" t="s">
        <v>26</v>
      </c>
      <c r="C58" s="2" t="s">
        <v>187</v>
      </c>
      <c r="D58" s="2"/>
      <c r="E58" s="3" t="s">
        <v>39</v>
      </c>
      <c r="F58" s="3" t="s">
        <v>29</v>
      </c>
      <c r="G58" s="0" t="n">
        <v>1578</v>
      </c>
      <c r="H58" s="4" t="n">
        <v>48.33</v>
      </c>
      <c r="I58" s="4" t="n">
        <v>42.77</v>
      </c>
      <c r="J58" s="0" t="n">
        <v>206</v>
      </c>
      <c r="K58" s="3" t="s">
        <v>24</v>
      </c>
      <c r="L58" s="0" t="str">
        <f aca="false">IF(D58="","",IF(D58-C58&lt;0,"",D58-C58))</f>
        <v/>
      </c>
      <c r="M58" s="4" t="n">
        <f aca="false">G58*I58</f>
        <v>67491.06</v>
      </c>
      <c r="N58" s="5" t="n">
        <f aca="false">IF(J58="","",J58/G58*100)</f>
        <v>13.0544993662864</v>
      </c>
      <c r="O58" s="5" t="n">
        <f aca="false">(H58-I58)/H58*100</f>
        <v>11.5042416718394</v>
      </c>
      <c r="P58" s="3" t="n">
        <f aca="false">IF(OR(F58="Delivered",F58="Partially Delivered"),1,0)</f>
        <v>1</v>
      </c>
      <c r="Q58" s="3" t="n">
        <f aca="false">IF(F58="Cancelled",1,0)</f>
        <v>0</v>
      </c>
      <c r="R58" s="3" t="n">
        <f aca="false">IF(K58="Yes",1,0)</f>
        <v>1</v>
      </c>
    </row>
    <row r="59" customFormat="false" ht="15" hidden="false" customHeight="false" outlineLevel="0" collapsed="false">
      <c r="A59" s="0" t="s">
        <v>188</v>
      </c>
      <c r="B59" s="0" t="s">
        <v>26</v>
      </c>
      <c r="C59" s="2" t="s">
        <v>189</v>
      </c>
      <c r="D59" s="2" t="s">
        <v>190</v>
      </c>
      <c r="E59" s="3" t="s">
        <v>34</v>
      </c>
      <c r="F59" s="3" t="s">
        <v>29</v>
      </c>
      <c r="G59" s="0" t="n">
        <v>1204</v>
      </c>
      <c r="H59" s="4" t="n">
        <v>39.29</v>
      </c>
      <c r="I59" s="4" t="n">
        <v>35.44</v>
      </c>
      <c r="K59" s="3" t="s">
        <v>24</v>
      </c>
      <c r="L59" s="3" t="n">
        <f aca="false">IF(D59="","",IF(D59-C59&lt;0,"",D59-C59))</f>
        <v>5</v>
      </c>
      <c r="M59" s="4" t="n">
        <f aca="false">G59*I59</f>
        <v>42669.76</v>
      </c>
      <c r="N59" s="5" t="str">
        <f aca="false">IF(J59="","",J59/G59*100)</f>
        <v/>
      </c>
      <c r="O59" s="5" t="n">
        <f aca="false">(H59-I59)/H59*100</f>
        <v>9.79893102570629</v>
      </c>
      <c r="P59" s="3" t="n">
        <f aca="false">IF(OR(F59="Delivered",F59="Partially Delivered"),1,0)</f>
        <v>1</v>
      </c>
      <c r="Q59" s="3" t="n">
        <f aca="false">IF(F59="Cancelled",1,0)</f>
        <v>0</v>
      </c>
      <c r="R59" s="3" t="n">
        <f aca="false">IF(K59="Yes",1,0)</f>
        <v>1</v>
      </c>
    </row>
    <row r="60" customFormat="false" ht="15" hidden="false" customHeight="false" outlineLevel="0" collapsed="false">
      <c r="A60" s="0" t="s">
        <v>191</v>
      </c>
      <c r="B60" s="0" t="s">
        <v>46</v>
      </c>
      <c r="C60" s="2" t="s">
        <v>192</v>
      </c>
      <c r="D60" s="2" t="s">
        <v>193</v>
      </c>
      <c r="E60" s="3" t="s">
        <v>34</v>
      </c>
      <c r="F60" s="3" t="s">
        <v>62</v>
      </c>
      <c r="G60" s="0" t="n">
        <v>1558</v>
      </c>
      <c r="H60" s="4" t="n">
        <v>93.46</v>
      </c>
      <c r="I60" s="4" t="n">
        <v>91.27</v>
      </c>
      <c r="J60" s="0" t="n">
        <v>39</v>
      </c>
      <c r="K60" s="3" t="s">
        <v>24</v>
      </c>
      <c r="L60" s="3" t="n">
        <f aca="false">IF(D60="","",IF(D60-C60&lt;0,"",D60-C60))</f>
        <v>16</v>
      </c>
      <c r="M60" s="4" t="n">
        <f aca="false">G60*I60</f>
        <v>142198.66</v>
      </c>
      <c r="N60" s="5" t="n">
        <f aca="false">IF(J60="","",J60/G60*100)</f>
        <v>2.50320924261874</v>
      </c>
      <c r="O60" s="5" t="n">
        <f aca="false">(H60-I60)/H60*100</f>
        <v>2.34324844853413</v>
      </c>
      <c r="P60" s="3" t="n">
        <f aca="false">IF(OR(F60="Delivered",F60="Partially Delivered"),1,0)</f>
        <v>0</v>
      </c>
      <c r="Q60" s="3" t="n">
        <f aca="false">IF(F60="Cancelled",1,0)</f>
        <v>0</v>
      </c>
      <c r="R60" s="3" t="n">
        <f aca="false">IF(K60="Yes",1,0)</f>
        <v>1</v>
      </c>
    </row>
    <row r="61" customFormat="false" ht="15" hidden="false" customHeight="false" outlineLevel="0" collapsed="false">
      <c r="A61" s="0" t="s">
        <v>194</v>
      </c>
      <c r="B61" s="0" t="s">
        <v>19</v>
      </c>
      <c r="C61" s="2" t="s">
        <v>195</v>
      </c>
      <c r="D61" s="2" t="s">
        <v>196</v>
      </c>
      <c r="E61" s="3" t="s">
        <v>39</v>
      </c>
      <c r="F61" s="3" t="s">
        <v>29</v>
      </c>
      <c r="G61" s="0" t="n">
        <v>1892</v>
      </c>
      <c r="H61" s="4" t="n">
        <v>32.99</v>
      </c>
      <c r="I61" s="4" t="n">
        <v>28.81</v>
      </c>
      <c r="J61" s="0" t="n">
        <v>35</v>
      </c>
      <c r="K61" s="3" t="s">
        <v>24</v>
      </c>
      <c r="L61" s="3" t="n">
        <f aca="false">IF(D61="","",IF(D61-C61&lt;0,"",D61-C61))</f>
        <v>1</v>
      </c>
      <c r="M61" s="4" t="n">
        <f aca="false">G61*I61</f>
        <v>54508.52</v>
      </c>
      <c r="N61" s="5" t="n">
        <f aca="false">IF(J61="","",J61/G61*100)</f>
        <v>1.84989429175476</v>
      </c>
      <c r="O61" s="5" t="n">
        <f aca="false">(H61-I61)/H61*100</f>
        <v>12.6705062140043</v>
      </c>
      <c r="P61" s="3" t="n">
        <f aca="false">IF(OR(F61="Delivered",F61="Partially Delivered"),1,0)</f>
        <v>1</v>
      </c>
      <c r="Q61" s="3" t="n">
        <f aca="false">IF(F61="Cancelled",1,0)</f>
        <v>0</v>
      </c>
      <c r="R61" s="3" t="n">
        <f aca="false">IF(K61="Yes",1,0)</f>
        <v>1</v>
      </c>
    </row>
    <row r="62" customFormat="false" ht="15" hidden="false" customHeight="false" outlineLevel="0" collapsed="false">
      <c r="A62" s="0" t="s">
        <v>197</v>
      </c>
      <c r="B62" s="0" t="s">
        <v>46</v>
      </c>
      <c r="C62" s="2" t="s">
        <v>198</v>
      </c>
      <c r="D62" s="2" t="s">
        <v>199</v>
      </c>
      <c r="E62" s="3" t="s">
        <v>39</v>
      </c>
      <c r="F62" s="3" t="s">
        <v>29</v>
      </c>
      <c r="G62" s="0" t="n">
        <v>696</v>
      </c>
      <c r="H62" s="4" t="n">
        <v>99.59</v>
      </c>
      <c r="I62" s="4" t="n">
        <v>90.18</v>
      </c>
      <c r="J62" s="0" t="n">
        <v>25</v>
      </c>
      <c r="K62" s="3" t="s">
        <v>24</v>
      </c>
      <c r="L62" s="3" t="n">
        <f aca="false">IF(D62="","",IF(D62-C62&lt;0,"",D62-C62))</f>
        <v>16</v>
      </c>
      <c r="M62" s="4" t="n">
        <f aca="false">G62*I62</f>
        <v>62765.28</v>
      </c>
      <c r="N62" s="5" t="n">
        <f aca="false">IF(J62="","",J62/G62*100)</f>
        <v>3.59195402298851</v>
      </c>
      <c r="O62" s="5" t="n">
        <f aca="false">(H62-I62)/H62*100</f>
        <v>9.44873983331659</v>
      </c>
      <c r="P62" s="3" t="n">
        <f aca="false">IF(OR(F62="Delivered",F62="Partially Delivered"),1,0)</f>
        <v>1</v>
      </c>
      <c r="Q62" s="3" t="n">
        <f aca="false">IF(F62="Cancelled",1,0)</f>
        <v>0</v>
      </c>
      <c r="R62" s="3" t="n">
        <f aca="false">IF(K62="Yes",1,0)</f>
        <v>1</v>
      </c>
    </row>
    <row r="63" customFormat="false" ht="15" hidden="false" customHeight="false" outlineLevel="0" collapsed="false">
      <c r="A63" s="0" t="s">
        <v>200</v>
      </c>
      <c r="B63" s="0" t="s">
        <v>26</v>
      </c>
      <c r="C63" s="2" t="s">
        <v>201</v>
      </c>
      <c r="D63" s="2" t="s">
        <v>202</v>
      </c>
      <c r="E63" s="3" t="s">
        <v>34</v>
      </c>
      <c r="F63" s="3" t="s">
        <v>58</v>
      </c>
      <c r="G63" s="0" t="n">
        <v>70</v>
      </c>
      <c r="H63" s="4" t="n">
        <v>12.37</v>
      </c>
      <c r="I63" s="4" t="n">
        <v>11.04</v>
      </c>
      <c r="J63" s="0" t="n">
        <v>10</v>
      </c>
      <c r="K63" s="3" t="s">
        <v>24</v>
      </c>
      <c r="L63" s="3" t="n">
        <f aca="false">IF(D63="","",IF(D63-C63&lt;0,"",D63-C63))</f>
        <v>11</v>
      </c>
      <c r="M63" s="4" t="n">
        <f aca="false">G63*I63</f>
        <v>772.8</v>
      </c>
      <c r="N63" s="5" t="n">
        <f aca="false">IF(J63="","",J63/G63*100)</f>
        <v>14.2857142857143</v>
      </c>
      <c r="O63" s="5" t="n">
        <f aca="false">(H63-I63)/H63*100</f>
        <v>10.751818916734</v>
      </c>
      <c r="P63" s="3" t="n">
        <f aca="false">IF(OR(F63="Delivered",F63="Partially Delivered"),1,0)</f>
        <v>1</v>
      </c>
      <c r="Q63" s="3" t="n">
        <f aca="false">IF(F63="Cancelled",1,0)</f>
        <v>0</v>
      </c>
      <c r="R63" s="3" t="n">
        <f aca="false">IF(K63="Yes",1,0)</f>
        <v>1</v>
      </c>
    </row>
    <row r="64" customFormat="false" ht="15" hidden="false" customHeight="false" outlineLevel="0" collapsed="false">
      <c r="A64" s="0" t="s">
        <v>203</v>
      </c>
      <c r="B64" s="0" t="s">
        <v>31</v>
      </c>
      <c r="C64" s="2" t="s">
        <v>204</v>
      </c>
      <c r="D64" s="2" t="s">
        <v>205</v>
      </c>
      <c r="E64" s="3" t="s">
        <v>43</v>
      </c>
      <c r="F64" s="3" t="s">
        <v>29</v>
      </c>
      <c r="G64" s="0" t="n">
        <v>890</v>
      </c>
      <c r="H64" s="4" t="n">
        <v>98.26</v>
      </c>
      <c r="I64" s="4" t="n">
        <v>93.14</v>
      </c>
      <c r="J64" s="0" t="n">
        <v>49</v>
      </c>
      <c r="K64" s="3" t="s">
        <v>24</v>
      </c>
      <c r="L64" s="3" t="n">
        <f aca="false">IF(D64="","",IF(D64-C64&lt;0,"",D64-C64))</f>
        <v>2</v>
      </c>
      <c r="M64" s="4" t="n">
        <f aca="false">G64*I64</f>
        <v>82894.6</v>
      </c>
      <c r="N64" s="5" t="n">
        <f aca="false">IF(J64="","",J64/G64*100)</f>
        <v>5.50561797752809</v>
      </c>
      <c r="O64" s="5" t="n">
        <f aca="false">(H64-I64)/H64*100</f>
        <v>5.21066558111134</v>
      </c>
      <c r="P64" s="3" t="n">
        <f aca="false">IF(OR(F64="Delivered",F64="Partially Delivered"),1,0)</f>
        <v>1</v>
      </c>
      <c r="Q64" s="3" t="n">
        <f aca="false">IF(F64="Cancelled",1,0)</f>
        <v>0</v>
      </c>
      <c r="R64" s="3" t="n">
        <f aca="false">IF(K64="Yes",1,0)</f>
        <v>1</v>
      </c>
    </row>
    <row r="65" customFormat="false" ht="15" hidden="false" customHeight="false" outlineLevel="0" collapsed="false">
      <c r="A65" s="0" t="s">
        <v>206</v>
      </c>
      <c r="B65" s="0" t="s">
        <v>19</v>
      </c>
      <c r="C65" s="2" t="s">
        <v>207</v>
      </c>
      <c r="D65" s="2" t="s">
        <v>208</v>
      </c>
      <c r="E65" s="3" t="s">
        <v>34</v>
      </c>
      <c r="F65" s="3" t="s">
        <v>29</v>
      </c>
      <c r="G65" s="0" t="n">
        <v>216</v>
      </c>
      <c r="H65" s="4" t="n">
        <v>13.95</v>
      </c>
      <c r="I65" s="4" t="n">
        <v>12.31</v>
      </c>
      <c r="J65" s="0" t="n">
        <v>5</v>
      </c>
      <c r="K65" s="3" t="s">
        <v>24</v>
      </c>
      <c r="L65" s="3" t="n">
        <f aca="false">IF(D65="","",IF(D65-C65&lt;0,"",D65-C65))</f>
        <v>16</v>
      </c>
      <c r="M65" s="4" t="n">
        <f aca="false">G65*I65</f>
        <v>2658.96</v>
      </c>
      <c r="N65" s="5" t="n">
        <f aca="false">IF(J65="","",J65/G65*100)</f>
        <v>2.31481481481482</v>
      </c>
      <c r="O65" s="5" t="n">
        <f aca="false">(H65-I65)/H65*100</f>
        <v>11.7562724014337</v>
      </c>
      <c r="P65" s="3" t="n">
        <f aca="false">IF(OR(F65="Delivered",F65="Partially Delivered"),1,0)</f>
        <v>1</v>
      </c>
      <c r="Q65" s="3" t="n">
        <f aca="false">IF(F65="Cancelled",1,0)</f>
        <v>0</v>
      </c>
      <c r="R65" s="3" t="n">
        <f aca="false">IF(K65="Yes",1,0)</f>
        <v>1</v>
      </c>
    </row>
    <row r="66" customFormat="false" ht="15" hidden="false" customHeight="false" outlineLevel="0" collapsed="false">
      <c r="A66" s="0" t="s">
        <v>209</v>
      </c>
      <c r="B66" s="0" t="s">
        <v>26</v>
      </c>
      <c r="C66" s="2" t="s">
        <v>210</v>
      </c>
      <c r="D66" s="2" t="s">
        <v>211</v>
      </c>
      <c r="E66" s="3" t="s">
        <v>39</v>
      </c>
      <c r="F66" s="3" t="s">
        <v>29</v>
      </c>
      <c r="G66" s="0" t="n">
        <v>1347</v>
      </c>
      <c r="H66" s="4" t="n">
        <v>100.13</v>
      </c>
      <c r="I66" s="4" t="n">
        <v>94.3</v>
      </c>
      <c r="J66" s="0" t="n">
        <v>200</v>
      </c>
      <c r="K66" s="3" t="s">
        <v>24</v>
      </c>
      <c r="L66" s="3" t="n">
        <f aca="false">IF(D66="","",IF(D66-C66&lt;0,"",D66-C66))</f>
        <v>3</v>
      </c>
      <c r="M66" s="4" t="n">
        <f aca="false">G66*I66</f>
        <v>127022.1</v>
      </c>
      <c r="N66" s="5" t="n">
        <f aca="false">IF(J66="","",J66/G66*100)</f>
        <v>14.8478099480327</v>
      </c>
      <c r="O66" s="5" t="n">
        <f aca="false">(H66-I66)/H66*100</f>
        <v>5.82243083990812</v>
      </c>
      <c r="P66" s="3" t="n">
        <f aca="false">IF(OR(F66="Delivered",F66="Partially Delivered"),1,0)</f>
        <v>1</v>
      </c>
      <c r="Q66" s="3" t="n">
        <f aca="false">IF(F66="Cancelled",1,0)</f>
        <v>0</v>
      </c>
      <c r="R66" s="3" t="n">
        <f aca="false">IF(K66="Yes",1,0)</f>
        <v>1</v>
      </c>
    </row>
    <row r="67" customFormat="false" ht="15" hidden="false" customHeight="false" outlineLevel="0" collapsed="false">
      <c r="A67" s="0" t="s">
        <v>212</v>
      </c>
      <c r="B67" s="0" t="s">
        <v>31</v>
      </c>
      <c r="C67" s="2" t="s">
        <v>213</v>
      </c>
      <c r="D67" s="2" t="s">
        <v>214</v>
      </c>
      <c r="E67" s="3" t="s">
        <v>22</v>
      </c>
      <c r="F67" s="3" t="s">
        <v>58</v>
      </c>
      <c r="G67" s="0" t="n">
        <v>437</v>
      </c>
      <c r="H67" s="4" t="n">
        <v>59.51</v>
      </c>
      <c r="I67" s="4" t="n">
        <v>56.45</v>
      </c>
      <c r="J67" s="0" t="n">
        <v>25</v>
      </c>
      <c r="K67" s="3" t="s">
        <v>44</v>
      </c>
      <c r="L67" s="3" t="n">
        <f aca="false">IF(D67="","",IF(D67-C67&lt;0,"",D67-C67))</f>
        <v>3</v>
      </c>
      <c r="M67" s="4" t="n">
        <f aca="false">G67*I67</f>
        <v>24668.65</v>
      </c>
      <c r="N67" s="5" t="n">
        <f aca="false">IF(J67="","",J67/G67*100)</f>
        <v>5.720823798627</v>
      </c>
      <c r="O67" s="5" t="n">
        <f aca="false">(H67-I67)/H67*100</f>
        <v>5.14199294236262</v>
      </c>
      <c r="P67" s="3" t="n">
        <f aca="false">IF(OR(F67="Delivered",F67="Partially Delivered"),1,0)</f>
        <v>1</v>
      </c>
      <c r="Q67" s="3" t="n">
        <f aca="false">IF(F67="Cancelled",1,0)</f>
        <v>0</v>
      </c>
      <c r="R67" s="3" t="n">
        <f aca="false">IF(K67="Yes",1,0)</f>
        <v>0</v>
      </c>
    </row>
    <row r="68" customFormat="false" ht="15" hidden="false" customHeight="false" outlineLevel="0" collapsed="false">
      <c r="A68" s="0" t="s">
        <v>215</v>
      </c>
      <c r="B68" s="0" t="s">
        <v>19</v>
      </c>
      <c r="C68" s="2" t="s">
        <v>216</v>
      </c>
      <c r="D68" s="2" t="s">
        <v>121</v>
      </c>
      <c r="E68" s="3" t="s">
        <v>71</v>
      </c>
      <c r="F68" s="3" t="s">
        <v>29</v>
      </c>
      <c r="G68" s="0" t="n">
        <v>650</v>
      </c>
      <c r="H68" s="4" t="n">
        <v>103.84</v>
      </c>
      <c r="I68" s="4" t="n">
        <v>88.28</v>
      </c>
      <c r="J68" s="0" t="n">
        <v>12</v>
      </c>
      <c r="K68" s="3" t="s">
        <v>24</v>
      </c>
      <c r="L68" s="3" t="n">
        <f aca="false">IF(D68="","",IF(D68-C68&lt;0,"",D68-C68))</f>
        <v>2</v>
      </c>
      <c r="M68" s="4" t="n">
        <f aca="false">G68*I68</f>
        <v>57382</v>
      </c>
      <c r="N68" s="5" t="n">
        <f aca="false">IF(J68="","",J68/G68*100)</f>
        <v>1.84615384615385</v>
      </c>
      <c r="O68" s="5" t="n">
        <f aca="false">(H68-I68)/H68*100</f>
        <v>14.9845916795069</v>
      </c>
      <c r="P68" s="3" t="n">
        <f aca="false">IF(OR(F68="Delivered",F68="Partially Delivered"),1,0)</f>
        <v>1</v>
      </c>
      <c r="Q68" s="3" t="n">
        <f aca="false">IF(F68="Cancelled",1,0)</f>
        <v>0</v>
      </c>
      <c r="R68" s="3" t="n">
        <f aca="false">IF(K68="Yes",1,0)</f>
        <v>1</v>
      </c>
    </row>
    <row r="69" customFormat="false" ht="15" hidden="false" customHeight="false" outlineLevel="0" collapsed="false">
      <c r="A69" s="0" t="s">
        <v>217</v>
      </c>
      <c r="B69" s="0" t="s">
        <v>36</v>
      </c>
      <c r="C69" s="2" t="s">
        <v>218</v>
      </c>
      <c r="D69" s="2" t="s">
        <v>219</v>
      </c>
      <c r="E69" s="3" t="s">
        <v>22</v>
      </c>
      <c r="F69" s="3" t="s">
        <v>29</v>
      </c>
      <c r="G69" s="0" t="n">
        <v>365</v>
      </c>
      <c r="H69" s="4" t="n">
        <v>16.81</v>
      </c>
      <c r="I69" s="4" t="n">
        <v>15.41</v>
      </c>
      <c r="J69" s="0" t="n">
        <v>38</v>
      </c>
      <c r="K69" s="3" t="s">
        <v>24</v>
      </c>
      <c r="L69" s="3" t="n">
        <f aca="false">IF(D69="","",IF(D69-C69&lt;0,"",D69-C69))</f>
        <v>19</v>
      </c>
      <c r="M69" s="4" t="n">
        <f aca="false">G69*I69</f>
        <v>5624.65</v>
      </c>
      <c r="N69" s="5" t="n">
        <f aca="false">IF(J69="","",J69/G69*100)</f>
        <v>10.4109589041096</v>
      </c>
      <c r="O69" s="5" t="n">
        <f aca="false">(H69-I69)/H69*100</f>
        <v>8.32837596668649</v>
      </c>
      <c r="P69" s="3" t="n">
        <f aca="false">IF(OR(F69="Delivered",F69="Partially Delivered"),1,0)</f>
        <v>1</v>
      </c>
      <c r="Q69" s="3" t="n">
        <f aca="false">IF(F69="Cancelled",1,0)</f>
        <v>0</v>
      </c>
      <c r="R69" s="3" t="n">
        <f aca="false">IF(K69="Yes",1,0)</f>
        <v>1</v>
      </c>
    </row>
    <row r="70" customFormat="false" ht="15" hidden="false" customHeight="false" outlineLevel="0" collapsed="false">
      <c r="A70" s="0" t="s">
        <v>220</v>
      </c>
      <c r="B70" s="0" t="s">
        <v>46</v>
      </c>
      <c r="C70" s="2" t="s">
        <v>84</v>
      </c>
      <c r="D70" s="2"/>
      <c r="E70" s="3" t="s">
        <v>43</v>
      </c>
      <c r="F70" s="3" t="s">
        <v>23</v>
      </c>
      <c r="G70" s="0" t="n">
        <v>63</v>
      </c>
      <c r="H70" s="4" t="n">
        <v>61.94</v>
      </c>
      <c r="I70" s="4" t="n">
        <v>53.8</v>
      </c>
      <c r="K70" s="3" t="s">
        <v>24</v>
      </c>
      <c r="L70" s="0" t="str">
        <f aca="false">IF(D70="","",IF(D70-C70&lt;0,"",D70-C70))</f>
        <v/>
      </c>
      <c r="M70" s="4" t="n">
        <f aca="false">G70*I70</f>
        <v>3389.4</v>
      </c>
      <c r="N70" s="5" t="str">
        <f aca="false">IF(J70="","",J70/G70*100)</f>
        <v/>
      </c>
      <c r="O70" s="5" t="n">
        <f aca="false">(H70-I70)/H70*100</f>
        <v>13.1417500807233</v>
      </c>
      <c r="P70" s="3" t="n">
        <f aca="false">IF(OR(F70="Delivered",F70="Partially Delivered"),1,0)</f>
        <v>0</v>
      </c>
      <c r="Q70" s="3" t="n">
        <f aca="false">IF(F70="Cancelled",1,0)</f>
        <v>1</v>
      </c>
      <c r="R70" s="3" t="n">
        <f aca="false">IF(K70="Yes",1,0)</f>
        <v>1</v>
      </c>
    </row>
    <row r="71" customFormat="false" ht="15" hidden="false" customHeight="false" outlineLevel="0" collapsed="false">
      <c r="A71" s="0" t="s">
        <v>221</v>
      </c>
      <c r="B71" s="0" t="s">
        <v>19</v>
      </c>
      <c r="C71" s="2" t="s">
        <v>149</v>
      </c>
      <c r="D71" s="2" t="s">
        <v>222</v>
      </c>
      <c r="E71" s="3" t="s">
        <v>34</v>
      </c>
      <c r="F71" s="3" t="s">
        <v>29</v>
      </c>
      <c r="G71" s="0" t="n">
        <v>291</v>
      </c>
      <c r="H71" s="4" t="n">
        <v>98.7</v>
      </c>
      <c r="I71" s="4" t="n">
        <v>87.02</v>
      </c>
      <c r="J71" s="0" t="n">
        <v>9</v>
      </c>
      <c r="K71" s="3" t="s">
        <v>24</v>
      </c>
      <c r="L71" s="3" t="n">
        <f aca="false">IF(D71="","",IF(D71-C71&lt;0,"",D71-C71))</f>
        <v>8</v>
      </c>
      <c r="M71" s="4" t="n">
        <f aca="false">G71*I71</f>
        <v>25322.82</v>
      </c>
      <c r="N71" s="5" t="n">
        <f aca="false">IF(J71="","",J71/G71*100)</f>
        <v>3.09278350515464</v>
      </c>
      <c r="O71" s="5" t="n">
        <f aca="false">(H71-I71)/H71*100</f>
        <v>11.8338399189463</v>
      </c>
      <c r="P71" s="3" t="n">
        <f aca="false">IF(OR(F71="Delivered",F71="Partially Delivered"),1,0)</f>
        <v>1</v>
      </c>
      <c r="Q71" s="3" t="n">
        <f aca="false">IF(F71="Cancelled",1,0)</f>
        <v>0</v>
      </c>
      <c r="R71" s="3" t="n">
        <f aca="false">IF(K71="Yes",1,0)</f>
        <v>1</v>
      </c>
    </row>
    <row r="72" customFormat="false" ht="15" hidden="false" customHeight="false" outlineLevel="0" collapsed="false">
      <c r="A72" s="0" t="s">
        <v>223</v>
      </c>
      <c r="B72" s="0" t="s">
        <v>19</v>
      </c>
      <c r="C72" s="2" t="s">
        <v>151</v>
      </c>
      <c r="D72" s="2" t="s">
        <v>224</v>
      </c>
      <c r="E72" s="3" t="s">
        <v>34</v>
      </c>
      <c r="F72" s="3" t="s">
        <v>23</v>
      </c>
      <c r="G72" s="0" t="n">
        <v>826</v>
      </c>
      <c r="H72" s="4" t="n">
        <v>60.5</v>
      </c>
      <c r="I72" s="4" t="n">
        <v>57.18</v>
      </c>
      <c r="J72" s="0" t="n">
        <v>18</v>
      </c>
      <c r="K72" s="3" t="s">
        <v>24</v>
      </c>
      <c r="L72" s="3" t="n">
        <f aca="false">IF(D72="","",IF(D72-C72&lt;0,"",D72-C72))</f>
        <v>14</v>
      </c>
      <c r="M72" s="4" t="n">
        <f aca="false">G72*I72</f>
        <v>47230.68</v>
      </c>
      <c r="N72" s="5" t="n">
        <f aca="false">IF(J72="","",J72/G72*100)</f>
        <v>2.17917675544794</v>
      </c>
      <c r="O72" s="5" t="n">
        <f aca="false">(H72-I72)/H72*100</f>
        <v>5.48760330578512</v>
      </c>
      <c r="P72" s="3" t="n">
        <f aca="false">IF(OR(F72="Delivered",F72="Partially Delivered"),1,0)</f>
        <v>0</v>
      </c>
      <c r="Q72" s="3" t="n">
        <f aca="false">IF(F72="Cancelled",1,0)</f>
        <v>1</v>
      </c>
      <c r="R72" s="3" t="n">
        <f aca="false">IF(K72="Yes",1,0)</f>
        <v>1</v>
      </c>
    </row>
    <row r="73" customFormat="false" ht="15" hidden="false" customHeight="false" outlineLevel="0" collapsed="false">
      <c r="A73" s="0" t="s">
        <v>225</v>
      </c>
      <c r="B73" s="0" t="s">
        <v>26</v>
      </c>
      <c r="C73" s="2" t="s">
        <v>120</v>
      </c>
      <c r="D73" s="2" t="s">
        <v>226</v>
      </c>
      <c r="E73" s="3" t="s">
        <v>71</v>
      </c>
      <c r="F73" s="3" t="s">
        <v>62</v>
      </c>
      <c r="G73" s="0" t="n">
        <v>1419</v>
      </c>
      <c r="H73" s="4" t="n">
        <v>69.64</v>
      </c>
      <c r="I73" s="4" t="n">
        <v>59.28</v>
      </c>
      <c r="J73" s="0" t="n">
        <v>194</v>
      </c>
      <c r="K73" s="3" t="s">
        <v>24</v>
      </c>
      <c r="L73" s="3" t="n">
        <f aca="false">IF(D73="","",IF(D73-C73&lt;0,"",D73-C73))</f>
        <v>20</v>
      </c>
      <c r="M73" s="4" t="n">
        <f aca="false">G73*I73</f>
        <v>84118.32</v>
      </c>
      <c r="N73" s="5" t="n">
        <f aca="false">IF(J73="","",J73/G73*100)</f>
        <v>13.6715997181113</v>
      </c>
      <c r="O73" s="5" t="n">
        <f aca="false">(H73-I73)/H73*100</f>
        <v>14.8765077541643</v>
      </c>
      <c r="P73" s="3" t="n">
        <f aca="false">IF(OR(F73="Delivered",F73="Partially Delivered"),1,0)</f>
        <v>0</v>
      </c>
      <c r="Q73" s="3" t="n">
        <f aca="false">IF(F73="Cancelled",1,0)</f>
        <v>0</v>
      </c>
      <c r="R73" s="3" t="n">
        <f aca="false">IF(K73="Yes",1,0)</f>
        <v>1</v>
      </c>
    </row>
    <row r="74" customFormat="false" ht="15" hidden="false" customHeight="false" outlineLevel="0" collapsed="false">
      <c r="A74" s="0" t="s">
        <v>227</v>
      </c>
      <c r="B74" s="0" t="s">
        <v>31</v>
      </c>
      <c r="C74" s="2" t="s">
        <v>228</v>
      </c>
      <c r="D74" s="2" t="s">
        <v>229</v>
      </c>
      <c r="E74" s="3" t="s">
        <v>22</v>
      </c>
      <c r="F74" s="3" t="s">
        <v>29</v>
      </c>
      <c r="G74" s="0" t="n">
        <v>614</v>
      </c>
      <c r="H74" s="4" t="n">
        <v>78.06</v>
      </c>
      <c r="I74" s="4" t="n">
        <v>73.95</v>
      </c>
      <c r="J74" s="0" t="n">
        <v>40</v>
      </c>
      <c r="K74" s="3" t="s">
        <v>24</v>
      </c>
      <c r="L74" s="3" t="n">
        <f aca="false">IF(D74="","",IF(D74-C74&lt;0,"",D74-C74))</f>
        <v>17</v>
      </c>
      <c r="M74" s="4" t="n">
        <f aca="false">G74*I74</f>
        <v>45405.3</v>
      </c>
      <c r="N74" s="5" t="n">
        <f aca="false">IF(J74="","",J74/G74*100)</f>
        <v>6.51465798045603</v>
      </c>
      <c r="O74" s="5" t="n">
        <f aca="false">(H74-I74)/H74*100</f>
        <v>5.2651806302844</v>
      </c>
      <c r="P74" s="3" t="n">
        <f aca="false">IF(OR(F74="Delivered",F74="Partially Delivered"),1,0)</f>
        <v>1</v>
      </c>
      <c r="Q74" s="3" t="n">
        <f aca="false">IF(F74="Cancelled",1,0)</f>
        <v>0</v>
      </c>
      <c r="R74" s="3" t="n">
        <f aca="false">IF(K74="Yes",1,0)</f>
        <v>1</v>
      </c>
    </row>
    <row r="75" customFormat="false" ht="15" hidden="false" customHeight="false" outlineLevel="0" collapsed="false">
      <c r="A75" s="0" t="s">
        <v>230</v>
      </c>
      <c r="B75" s="0" t="s">
        <v>19</v>
      </c>
      <c r="C75" s="2" t="s">
        <v>231</v>
      </c>
      <c r="D75" s="2" t="s">
        <v>102</v>
      </c>
      <c r="E75" s="3" t="s">
        <v>71</v>
      </c>
      <c r="F75" s="3" t="s">
        <v>29</v>
      </c>
      <c r="G75" s="0" t="n">
        <v>947</v>
      </c>
      <c r="H75" s="4" t="n">
        <v>56.25</v>
      </c>
      <c r="I75" s="4" t="n">
        <v>54.25</v>
      </c>
      <c r="J75" s="0" t="n">
        <v>19</v>
      </c>
      <c r="K75" s="3" t="s">
        <v>24</v>
      </c>
      <c r="L75" s="3" t="n">
        <f aca="false">IF(D75="","",IF(D75-C75&lt;0,"",D75-C75))</f>
        <v>15</v>
      </c>
      <c r="M75" s="4" t="n">
        <f aca="false">G75*I75</f>
        <v>51374.75</v>
      </c>
      <c r="N75" s="5" t="n">
        <f aca="false">IF(J75="","",J75/G75*100)</f>
        <v>2.00633579725449</v>
      </c>
      <c r="O75" s="5" t="n">
        <f aca="false">(H75-I75)/H75*100</f>
        <v>3.55555555555556</v>
      </c>
      <c r="P75" s="3" t="n">
        <f aca="false">IF(OR(F75="Delivered",F75="Partially Delivered"),1,0)</f>
        <v>1</v>
      </c>
      <c r="Q75" s="3" t="n">
        <f aca="false">IF(F75="Cancelled",1,0)</f>
        <v>0</v>
      </c>
      <c r="R75" s="3" t="n">
        <f aca="false">IF(K75="Yes",1,0)</f>
        <v>1</v>
      </c>
    </row>
    <row r="76" customFormat="false" ht="15" hidden="false" customHeight="false" outlineLevel="0" collapsed="false">
      <c r="A76" s="0" t="s">
        <v>232</v>
      </c>
      <c r="B76" s="0" t="s">
        <v>46</v>
      </c>
      <c r="C76" s="2" t="s">
        <v>233</v>
      </c>
      <c r="D76" s="2" t="s">
        <v>234</v>
      </c>
      <c r="E76" s="3" t="s">
        <v>43</v>
      </c>
      <c r="F76" s="3" t="s">
        <v>29</v>
      </c>
      <c r="G76" s="0" t="n">
        <v>1413</v>
      </c>
      <c r="H76" s="4" t="n">
        <v>70.47</v>
      </c>
      <c r="I76" s="4" t="n">
        <v>69.65</v>
      </c>
      <c r="K76" s="3" t="s">
        <v>24</v>
      </c>
      <c r="L76" s="3" t="n">
        <f aca="false">IF(D76="","",IF(D76-C76&lt;0,"",D76-C76))</f>
        <v>19</v>
      </c>
      <c r="M76" s="4" t="n">
        <f aca="false">G76*I76</f>
        <v>98415.45</v>
      </c>
      <c r="N76" s="5" t="str">
        <f aca="false">IF(J76="","",J76/G76*100)</f>
        <v/>
      </c>
      <c r="O76" s="5" t="n">
        <f aca="false">(H76-I76)/H76*100</f>
        <v>1.16361572300269</v>
      </c>
      <c r="P76" s="3" t="n">
        <f aca="false">IF(OR(F76="Delivered",F76="Partially Delivered"),1,0)</f>
        <v>1</v>
      </c>
      <c r="Q76" s="3" t="n">
        <f aca="false">IF(F76="Cancelled",1,0)</f>
        <v>0</v>
      </c>
      <c r="R76" s="3" t="n">
        <f aca="false">IF(K76="Yes",1,0)</f>
        <v>1</v>
      </c>
    </row>
    <row r="77" customFormat="false" ht="15" hidden="false" customHeight="false" outlineLevel="0" collapsed="false">
      <c r="A77" s="0" t="s">
        <v>235</v>
      </c>
      <c r="B77" s="0" t="s">
        <v>19</v>
      </c>
      <c r="C77" s="2" t="s">
        <v>236</v>
      </c>
      <c r="D77" s="2"/>
      <c r="E77" s="3" t="s">
        <v>22</v>
      </c>
      <c r="F77" s="3" t="s">
        <v>58</v>
      </c>
      <c r="G77" s="0" t="n">
        <v>141</v>
      </c>
      <c r="H77" s="4" t="n">
        <v>64.15</v>
      </c>
      <c r="I77" s="4" t="n">
        <v>58.32</v>
      </c>
      <c r="K77" s="3" t="s">
        <v>24</v>
      </c>
      <c r="L77" s="0" t="str">
        <f aca="false">IF(D77="","",IF(D77-C77&lt;0,"",D77-C77))</f>
        <v/>
      </c>
      <c r="M77" s="4" t="n">
        <f aca="false">G77*I77</f>
        <v>8223.12</v>
      </c>
      <c r="N77" s="5" t="str">
        <f aca="false">IF(J77="","",J77/G77*100)</f>
        <v/>
      </c>
      <c r="O77" s="5" t="n">
        <f aca="false">(H77-I77)/H77*100</f>
        <v>9.08807482462978</v>
      </c>
      <c r="P77" s="3" t="n">
        <f aca="false">IF(OR(F77="Delivered",F77="Partially Delivered"),1,0)</f>
        <v>1</v>
      </c>
      <c r="Q77" s="3" t="n">
        <f aca="false">IF(F77="Cancelled",1,0)</f>
        <v>0</v>
      </c>
      <c r="R77" s="3" t="n">
        <f aca="false">IF(K77="Yes",1,0)</f>
        <v>1</v>
      </c>
    </row>
    <row r="78" customFormat="false" ht="15" hidden="false" customHeight="false" outlineLevel="0" collapsed="false">
      <c r="A78" s="0" t="s">
        <v>237</v>
      </c>
      <c r="B78" s="0" t="s">
        <v>19</v>
      </c>
      <c r="C78" s="2" t="s">
        <v>238</v>
      </c>
      <c r="D78" s="2" t="s">
        <v>239</v>
      </c>
      <c r="E78" s="3" t="s">
        <v>22</v>
      </c>
      <c r="F78" s="3" t="s">
        <v>29</v>
      </c>
      <c r="G78" s="0" t="n">
        <v>1440</v>
      </c>
      <c r="H78" s="4" t="n">
        <v>96.57</v>
      </c>
      <c r="I78" s="4" t="n">
        <v>83.87</v>
      </c>
      <c r="J78" s="0" t="n">
        <v>36</v>
      </c>
      <c r="K78" s="3" t="s">
        <v>24</v>
      </c>
      <c r="L78" s="3" t="n">
        <f aca="false">IF(D78="","",IF(D78-C78&lt;0,"",D78-C78))</f>
        <v>20</v>
      </c>
      <c r="M78" s="4" t="n">
        <f aca="false">G78*I78</f>
        <v>120772.8</v>
      </c>
      <c r="N78" s="5" t="n">
        <f aca="false">IF(J78="","",J78/G78*100)</f>
        <v>2.5</v>
      </c>
      <c r="O78" s="5" t="n">
        <f aca="false">(H78-I78)/H78*100</f>
        <v>13.1510821165993</v>
      </c>
      <c r="P78" s="3" t="n">
        <f aca="false">IF(OR(F78="Delivered",F78="Partially Delivered"),1,0)</f>
        <v>1</v>
      </c>
      <c r="Q78" s="3" t="n">
        <f aca="false">IF(F78="Cancelled",1,0)</f>
        <v>0</v>
      </c>
      <c r="R78" s="3" t="n">
        <f aca="false">IF(K78="Yes",1,0)</f>
        <v>1</v>
      </c>
    </row>
    <row r="79" customFormat="false" ht="15" hidden="false" customHeight="false" outlineLevel="0" collapsed="false">
      <c r="A79" s="0" t="s">
        <v>240</v>
      </c>
      <c r="B79" s="0" t="s">
        <v>26</v>
      </c>
      <c r="C79" s="2" t="s">
        <v>241</v>
      </c>
      <c r="D79" s="2" t="s">
        <v>157</v>
      </c>
      <c r="E79" s="3" t="s">
        <v>43</v>
      </c>
      <c r="F79" s="3" t="s">
        <v>29</v>
      </c>
      <c r="G79" s="0" t="n">
        <v>1005</v>
      </c>
      <c r="H79" s="4" t="n">
        <v>14.87</v>
      </c>
      <c r="I79" s="4" t="n">
        <v>12.79</v>
      </c>
      <c r="K79" s="3" t="s">
        <v>44</v>
      </c>
      <c r="L79" s="3" t="n">
        <f aca="false">IF(D79="","",IF(D79-C79&lt;0,"",D79-C79))</f>
        <v>4</v>
      </c>
      <c r="M79" s="4" t="n">
        <f aca="false">G79*I79</f>
        <v>12853.95</v>
      </c>
      <c r="N79" s="5" t="str">
        <f aca="false">IF(J79="","",J79/G79*100)</f>
        <v/>
      </c>
      <c r="O79" s="5" t="n">
        <f aca="false">(H79-I79)/H79*100</f>
        <v>13.9878950907868</v>
      </c>
      <c r="P79" s="3" t="n">
        <f aca="false">IF(OR(F79="Delivered",F79="Partially Delivered"),1,0)</f>
        <v>1</v>
      </c>
      <c r="Q79" s="3" t="n">
        <f aca="false">IF(F79="Cancelled",1,0)</f>
        <v>0</v>
      </c>
      <c r="R79" s="3" t="n">
        <f aca="false">IF(K79="Yes",1,0)</f>
        <v>0</v>
      </c>
    </row>
    <row r="80" customFormat="false" ht="15" hidden="false" customHeight="false" outlineLevel="0" collapsed="false">
      <c r="A80" s="0" t="s">
        <v>242</v>
      </c>
      <c r="B80" s="0" t="s">
        <v>19</v>
      </c>
      <c r="C80" s="2" t="s">
        <v>243</v>
      </c>
      <c r="D80" s="2"/>
      <c r="E80" s="3" t="s">
        <v>34</v>
      </c>
      <c r="F80" s="3" t="s">
        <v>29</v>
      </c>
      <c r="G80" s="0" t="n">
        <v>1528</v>
      </c>
      <c r="H80" s="4" t="n">
        <v>36.52</v>
      </c>
      <c r="I80" s="4" t="n">
        <v>33</v>
      </c>
      <c r="J80" s="0" t="n">
        <v>31</v>
      </c>
      <c r="K80" s="3" t="s">
        <v>44</v>
      </c>
      <c r="L80" s="0" t="str">
        <f aca="false">IF(D80="","",IF(D80-C80&lt;0,"",D80-C80))</f>
        <v/>
      </c>
      <c r="M80" s="4" t="n">
        <f aca="false">G80*I80</f>
        <v>50424</v>
      </c>
      <c r="N80" s="5" t="n">
        <f aca="false">IF(J80="","",J80/G80*100)</f>
        <v>2.02879581151832</v>
      </c>
      <c r="O80" s="5" t="n">
        <f aca="false">(H80-I80)/H80*100</f>
        <v>9.63855421686748</v>
      </c>
      <c r="P80" s="3" t="n">
        <f aca="false">IF(OR(F80="Delivered",F80="Partially Delivered"),1,0)</f>
        <v>1</v>
      </c>
      <c r="Q80" s="3" t="n">
        <f aca="false">IF(F80="Cancelled",1,0)</f>
        <v>0</v>
      </c>
      <c r="R80" s="3" t="n">
        <f aca="false">IF(K80="Yes",1,0)</f>
        <v>0</v>
      </c>
    </row>
    <row r="81" customFormat="false" ht="15" hidden="false" customHeight="false" outlineLevel="0" collapsed="false">
      <c r="A81" s="0" t="s">
        <v>244</v>
      </c>
      <c r="B81" s="0" t="s">
        <v>31</v>
      </c>
      <c r="C81" s="2" t="s">
        <v>245</v>
      </c>
      <c r="D81" s="2" t="s">
        <v>246</v>
      </c>
      <c r="E81" s="3" t="s">
        <v>34</v>
      </c>
      <c r="F81" s="3" t="s">
        <v>29</v>
      </c>
      <c r="G81" s="0" t="n">
        <v>1501</v>
      </c>
      <c r="H81" s="4" t="n">
        <v>106.05</v>
      </c>
      <c r="I81" s="4" t="n">
        <v>100.99</v>
      </c>
      <c r="J81" s="0" t="n">
        <v>77</v>
      </c>
      <c r="K81" s="3" t="s">
        <v>44</v>
      </c>
      <c r="L81" s="3" t="n">
        <f aca="false">IF(D81="","",IF(D81-C81&lt;0,"",D81-C81))</f>
        <v>7</v>
      </c>
      <c r="M81" s="4" t="n">
        <f aca="false">G81*I81</f>
        <v>151585.99</v>
      </c>
      <c r="N81" s="5" t="n">
        <f aca="false">IF(J81="","",J81/G81*100)</f>
        <v>5.12991339107262</v>
      </c>
      <c r="O81" s="5" t="n">
        <f aca="false">(H81-I81)/H81*100</f>
        <v>4.77133427628477</v>
      </c>
      <c r="P81" s="3" t="n">
        <f aca="false">IF(OR(F81="Delivered",F81="Partially Delivered"),1,0)</f>
        <v>1</v>
      </c>
      <c r="Q81" s="3" t="n">
        <f aca="false">IF(F81="Cancelled",1,0)</f>
        <v>0</v>
      </c>
      <c r="R81" s="3" t="n">
        <f aca="false">IF(K81="Yes",1,0)</f>
        <v>0</v>
      </c>
    </row>
    <row r="82" customFormat="false" ht="15" hidden="false" customHeight="false" outlineLevel="0" collapsed="false">
      <c r="A82" s="0" t="s">
        <v>247</v>
      </c>
      <c r="B82" s="0" t="s">
        <v>26</v>
      </c>
      <c r="C82" s="2" t="s">
        <v>248</v>
      </c>
      <c r="D82" s="2" t="s">
        <v>249</v>
      </c>
      <c r="E82" s="3" t="s">
        <v>39</v>
      </c>
      <c r="F82" s="3" t="s">
        <v>29</v>
      </c>
      <c r="G82" s="0" t="n">
        <v>558</v>
      </c>
      <c r="H82" s="4" t="n">
        <v>94.18</v>
      </c>
      <c r="I82" s="4" t="n">
        <v>81.4</v>
      </c>
      <c r="K82" s="3" t="s">
        <v>44</v>
      </c>
      <c r="L82" s="3" t="n">
        <f aca="false">IF(D82="","",IF(D82-C82&lt;0,"",D82-C82))</f>
        <v>3</v>
      </c>
      <c r="M82" s="4" t="n">
        <f aca="false">G82*I82</f>
        <v>45421.2</v>
      </c>
      <c r="N82" s="5" t="str">
        <f aca="false">IF(J82="","",J82/G82*100)</f>
        <v/>
      </c>
      <c r="O82" s="5" t="n">
        <f aca="false">(H82-I82)/H82*100</f>
        <v>13.5697600339775</v>
      </c>
      <c r="P82" s="3" t="n">
        <f aca="false">IF(OR(F82="Delivered",F82="Partially Delivered"),1,0)</f>
        <v>1</v>
      </c>
      <c r="Q82" s="3" t="n">
        <f aca="false">IF(F82="Cancelled",1,0)</f>
        <v>0</v>
      </c>
      <c r="R82" s="3" t="n">
        <f aca="false">IF(K82="Yes",1,0)</f>
        <v>0</v>
      </c>
    </row>
    <row r="83" customFormat="false" ht="15" hidden="false" customHeight="false" outlineLevel="0" collapsed="false">
      <c r="A83" s="0" t="s">
        <v>250</v>
      </c>
      <c r="B83" s="0" t="s">
        <v>36</v>
      </c>
      <c r="C83" s="2" t="s">
        <v>105</v>
      </c>
      <c r="D83" s="2" t="s">
        <v>251</v>
      </c>
      <c r="E83" s="3" t="s">
        <v>34</v>
      </c>
      <c r="F83" s="3" t="s">
        <v>29</v>
      </c>
      <c r="G83" s="0" t="n">
        <v>825</v>
      </c>
      <c r="H83" s="4" t="n">
        <v>56.88</v>
      </c>
      <c r="I83" s="4" t="n">
        <v>50.84</v>
      </c>
      <c r="K83" s="3" t="s">
        <v>24</v>
      </c>
      <c r="L83" s="3" t="n">
        <f aca="false">IF(D83="","",IF(D83-C83&lt;0,"",D83-C83))</f>
        <v>6</v>
      </c>
      <c r="M83" s="4" t="n">
        <f aca="false">G83*I83</f>
        <v>41943</v>
      </c>
      <c r="N83" s="5" t="str">
        <f aca="false">IF(J83="","",J83/G83*100)</f>
        <v/>
      </c>
      <c r="O83" s="5" t="n">
        <f aca="false">(H83-I83)/H83*100</f>
        <v>10.6188466947961</v>
      </c>
      <c r="P83" s="3" t="n">
        <f aca="false">IF(OR(F83="Delivered",F83="Partially Delivered"),1,0)</f>
        <v>1</v>
      </c>
      <c r="Q83" s="3" t="n">
        <f aca="false">IF(F83="Cancelled",1,0)</f>
        <v>0</v>
      </c>
      <c r="R83" s="3" t="n">
        <f aca="false">IF(K83="Yes",1,0)</f>
        <v>1</v>
      </c>
    </row>
    <row r="84" customFormat="false" ht="15" hidden="false" customHeight="false" outlineLevel="0" collapsed="false">
      <c r="A84" s="0" t="s">
        <v>252</v>
      </c>
      <c r="B84" s="0" t="s">
        <v>36</v>
      </c>
      <c r="C84" s="2" t="s">
        <v>253</v>
      </c>
      <c r="D84" s="2" t="s">
        <v>254</v>
      </c>
      <c r="E84" s="3" t="s">
        <v>71</v>
      </c>
      <c r="F84" s="3" t="s">
        <v>23</v>
      </c>
      <c r="G84" s="0" t="n">
        <v>84</v>
      </c>
      <c r="H84" s="4" t="n">
        <v>73.38</v>
      </c>
      <c r="I84" s="4" t="n">
        <v>71.42</v>
      </c>
      <c r="J84" s="0" t="n">
        <v>9</v>
      </c>
      <c r="K84" s="3" t="s">
        <v>24</v>
      </c>
      <c r="L84" s="3" t="n">
        <f aca="false">IF(D84="","",IF(D84-C84&lt;0,"",D84-C84))</f>
        <v>6</v>
      </c>
      <c r="M84" s="4" t="n">
        <f aca="false">G84*I84</f>
        <v>5999.28</v>
      </c>
      <c r="N84" s="5" t="n">
        <f aca="false">IF(J84="","",J84/G84*100)</f>
        <v>10.7142857142857</v>
      </c>
      <c r="O84" s="5" t="n">
        <f aca="false">(H84-I84)/H84*100</f>
        <v>2.67102752793676</v>
      </c>
      <c r="P84" s="3" t="n">
        <f aca="false">IF(OR(F84="Delivered",F84="Partially Delivered"),1,0)</f>
        <v>0</v>
      </c>
      <c r="Q84" s="3" t="n">
        <f aca="false">IF(F84="Cancelled",1,0)</f>
        <v>1</v>
      </c>
      <c r="R84" s="3" t="n">
        <f aca="false">IF(K84="Yes",1,0)</f>
        <v>1</v>
      </c>
    </row>
    <row r="85" customFormat="false" ht="15" hidden="false" customHeight="false" outlineLevel="0" collapsed="false">
      <c r="A85" s="0" t="s">
        <v>255</v>
      </c>
      <c r="B85" s="0" t="s">
        <v>26</v>
      </c>
      <c r="C85" s="2" t="s">
        <v>256</v>
      </c>
      <c r="D85" s="2" t="s">
        <v>257</v>
      </c>
      <c r="E85" s="3" t="s">
        <v>43</v>
      </c>
      <c r="F85" s="3" t="s">
        <v>29</v>
      </c>
      <c r="G85" s="0" t="n">
        <v>255</v>
      </c>
      <c r="H85" s="4" t="n">
        <v>38.64</v>
      </c>
      <c r="I85" s="4" t="n">
        <v>33.59</v>
      </c>
      <c r="J85" s="0" t="n">
        <v>27</v>
      </c>
      <c r="K85" s="3" t="s">
        <v>44</v>
      </c>
      <c r="L85" s="3" t="n">
        <f aca="false">IF(D85="","",IF(D85-C85&lt;0,"",D85-C85))</f>
        <v>15</v>
      </c>
      <c r="M85" s="4" t="n">
        <f aca="false">G85*I85</f>
        <v>8565.45</v>
      </c>
      <c r="N85" s="5" t="n">
        <f aca="false">IF(J85="","",J85/G85*100)</f>
        <v>10.5882352941176</v>
      </c>
      <c r="O85" s="5" t="n">
        <f aca="false">(H85-I85)/H85*100</f>
        <v>13.0693581780538</v>
      </c>
      <c r="P85" s="3" t="n">
        <f aca="false">IF(OR(F85="Delivered",F85="Partially Delivered"),1,0)</f>
        <v>1</v>
      </c>
      <c r="Q85" s="3" t="n">
        <f aca="false">IF(F85="Cancelled",1,0)</f>
        <v>0</v>
      </c>
      <c r="R85" s="3" t="n">
        <f aca="false">IF(K85="Yes",1,0)</f>
        <v>0</v>
      </c>
    </row>
    <row r="86" customFormat="false" ht="15" hidden="false" customHeight="false" outlineLevel="0" collapsed="false">
      <c r="A86" s="0" t="s">
        <v>258</v>
      </c>
      <c r="B86" s="0" t="s">
        <v>31</v>
      </c>
      <c r="C86" s="2" t="s">
        <v>205</v>
      </c>
      <c r="D86" s="2" t="s">
        <v>64</v>
      </c>
      <c r="E86" s="3" t="s">
        <v>34</v>
      </c>
      <c r="F86" s="3" t="s">
        <v>29</v>
      </c>
      <c r="G86" s="0" t="n">
        <v>1154</v>
      </c>
      <c r="H86" s="4" t="n">
        <v>27.2</v>
      </c>
      <c r="I86" s="4" t="n">
        <v>26.07</v>
      </c>
      <c r="J86" s="0" t="n">
        <v>58</v>
      </c>
      <c r="K86" s="3" t="s">
        <v>24</v>
      </c>
      <c r="L86" s="3" t="n">
        <f aca="false">IF(D86="","",IF(D86-C86&lt;0,"",D86-C86))</f>
        <v>16</v>
      </c>
      <c r="M86" s="4" t="n">
        <f aca="false">G86*I86</f>
        <v>30084.78</v>
      </c>
      <c r="N86" s="5" t="n">
        <f aca="false">IF(J86="","",J86/G86*100)</f>
        <v>5.02599653379549</v>
      </c>
      <c r="O86" s="5" t="n">
        <f aca="false">(H86-I86)/H86*100</f>
        <v>4.15441176470588</v>
      </c>
      <c r="P86" s="3" t="n">
        <f aca="false">IF(OR(F86="Delivered",F86="Partially Delivered"),1,0)</f>
        <v>1</v>
      </c>
      <c r="Q86" s="3" t="n">
        <f aca="false">IF(F86="Cancelled",1,0)</f>
        <v>0</v>
      </c>
      <c r="R86" s="3" t="n">
        <f aca="false">IF(K86="Yes",1,0)</f>
        <v>1</v>
      </c>
    </row>
    <row r="87" customFormat="false" ht="15" hidden="false" customHeight="false" outlineLevel="0" collapsed="false">
      <c r="A87" s="0" t="s">
        <v>259</v>
      </c>
      <c r="B87" s="0" t="s">
        <v>26</v>
      </c>
      <c r="C87" s="2" t="s">
        <v>260</v>
      </c>
      <c r="D87" s="2" t="s">
        <v>91</v>
      </c>
      <c r="E87" s="3" t="s">
        <v>22</v>
      </c>
      <c r="F87" s="3" t="s">
        <v>29</v>
      </c>
      <c r="G87" s="0" t="n">
        <v>1635</v>
      </c>
      <c r="H87" s="4" t="n">
        <v>56.91</v>
      </c>
      <c r="I87" s="4" t="n">
        <v>54.37</v>
      </c>
      <c r="J87" s="0" t="n">
        <v>262</v>
      </c>
      <c r="K87" s="3" t="s">
        <v>44</v>
      </c>
      <c r="L87" s="3" t="n">
        <f aca="false">IF(D87="","",IF(D87-C87&lt;0,"",D87-C87))</f>
        <v>8</v>
      </c>
      <c r="M87" s="4" t="n">
        <f aca="false">G87*I87</f>
        <v>88894.95</v>
      </c>
      <c r="N87" s="5" t="n">
        <f aca="false">IF(J87="","",J87/G87*100)</f>
        <v>16.0244648318043</v>
      </c>
      <c r="O87" s="5" t="n">
        <f aca="false">(H87-I87)/H87*100</f>
        <v>4.46318748901775</v>
      </c>
      <c r="P87" s="3" t="n">
        <f aca="false">IF(OR(F87="Delivered",F87="Partially Delivered"),1,0)</f>
        <v>1</v>
      </c>
      <c r="Q87" s="3" t="n">
        <f aca="false">IF(F87="Cancelled",1,0)</f>
        <v>0</v>
      </c>
      <c r="R87" s="3" t="n">
        <f aca="false">IF(K87="Yes",1,0)</f>
        <v>0</v>
      </c>
    </row>
    <row r="88" customFormat="false" ht="15" hidden="false" customHeight="false" outlineLevel="0" collapsed="false">
      <c r="A88" s="0" t="s">
        <v>261</v>
      </c>
      <c r="B88" s="0" t="s">
        <v>26</v>
      </c>
      <c r="C88" s="2" t="s">
        <v>231</v>
      </c>
      <c r="D88" s="2" t="s">
        <v>262</v>
      </c>
      <c r="E88" s="3" t="s">
        <v>43</v>
      </c>
      <c r="F88" s="3" t="s">
        <v>29</v>
      </c>
      <c r="G88" s="0" t="n">
        <v>1945</v>
      </c>
      <c r="H88" s="4" t="n">
        <v>46.19</v>
      </c>
      <c r="I88" s="4" t="n">
        <v>40.12</v>
      </c>
      <c r="J88" s="0" t="n">
        <v>278</v>
      </c>
      <c r="K88" s="3" t="s">
        <v>44</v>
      </c>
      <c r="L88" s="3" t="n">
        <f aca="false">IF(D88="","",IF(D88-C88&lt;0,"",D88-C88))</f>
        <v>10</v>
      </c>
      <c r="M88" s="4" t="n">
        <f aca="false">G88*I88</f>
        <v>78033.4</v>
      </c>
      <c r="N88" s="5" t="n">
        <f aca="false">IF(J88="","",J88/G88*100)</f>
        <v>14.293059125964</v>
      </c>
      <c r="O88" s="5" t="n">
        <f aca="false">(H88-I88)/H88*100</f>
        <v>13.14137259147</v>
      </c>
      <c r="P88" s="3" t="n">
        <f aca="false">IF(OR(F88="Delivered",F88="Partially Delivered"),1,0)</f>
        <v>1</v>
      </c>
      <c r="Q88" s="3" t="n">
        <f aca="false">IF(F88="Cancelled",1,0)</f>
        <v>0</v>
      </c>
      <c r="R88" s="3" t="n">
        <f aca="false">IF(K88="Yes",1,0)</f>
        <v>0</v>
      </c>
    </row>
    <row r="89" customFormat="false" ht="15" hidden="false" customHeight="false" outlineLevel="0" collapsed="false">
      <c r="A89" s="0" t="s">
        <v>263</v>
      </c>
      <c r="B89" s="0" t="s">
        <v>26</v>
      </c>
      <c r="C89" s="2" t="s">
        <v>264</v>
      </c>
      <c r="D89" s="2" t="s">
        <v>265</v>
      </c>
      <c r="E89" s="3" t="s">
        <v>34</v>
      </c>
      <c r="F89" s="3" t="s">
        <v>58</v>
      </c>
      <c r="G89" s="0" t="n">
        <v>1461</v>
      </c>
      <c r="H89" s="4" t="n">
        <v>64.09</v>
      </c>
      <c r="I89" s="4" t="n">
        <v>63.39</v>
      </c>
      <c r="J89" s="0" t="n">
        <v>228</v>
      </c>
      <c r="K89" s="3" t="s">
        <v>44</v>
      </c>
      <c r="L89" s="3" t="n">
        <f aca="false">IF(D89="","",IF(D89-C89&lt;0,"",D89-C89))</f>
        <v>15</v>
      </c>
      <c r="M89" s="4" t="n">
        <f aca="false">G89*I89</f>
        <v>92612.79</v>
      </c>
      <c r="N89" s="5" t="n">
        <f aca="false">IF(J89="","",J89/G89*100)</f>
        <v>15.605749486653</v>
      </c>
      <c r="O89" s="5" t="n">
        <f aca="false">(H89-I89)/H89*100</f>
        <v>1.0922140739585</v>
      </c>
      <c r="P89" s="3" t="n">
        <f aca="false">IF(OR(F89="Delivered",F89="Partially Delivered"),1,0)</f>
        <v>1</v>
      </c>
      <c r="Q89" s="3" t="n">
        <f aca="false">IF(F89="Cancelled",1,0)</f>
        <v>0</v>
      </c>
      <c r="R89" s="3" t="n">
        <f aca="false">IF(K89="Yes",1,0)</f>
        <v>0</v>
      </c>
    </row>
    <row r="90" customFormat="false" ht="15" hidden="false" customHeight="false" outlineLevel="0" collapsed="false">
      <c r="A90" s="0" t="s">
        <v>266</v>
      </c>
      <c r="B90" s="0" t="s">
        <v>26</v>
      </c>
      <c r="C90" s="2" t="s">
        <v>267</v>
      </c>
      <c r="D90" s="2" t="s">
        <v>268</v>
      </c>
      <c r="E90" s="3" t="s">
        <v>71</v>
      </c>
      <c r="F90" s="3" t="s">
        <v>29</v>
      </c>
      <c r="G90" s="0" t="n">
        <v>1075</v>
      </c>
      <c r="H90" s="4" t="n">
        <v>18.53</v>
      </c>
      <c r="I90" s="4" t="n">
        <v>16.12</v>
      </c>
      <c r="J90" s="0" t="n">
        <v>147</v>
      </c>
      <c r="K90" s="3" t="s">
        <v>24</v>
      </c>
      <c r="L90" s="3" t="n">
        <f aca="false">IF(D90="","",IF(D90-C90&lt;0,"",D90-C90))</f>
        <v>8</v>
      </c>
      <c r="M90" s="4" t="n">
        <f aca="false">G90*I90</f>
        <v>17329</v>
      </c>
      <c r="N90" s="5" t="n">
        <f aca="false">IF(J90="","",J90/G90*100)</f>
        <v>13.6744186046512</v>
      </c>
      <c r="O90" s="5" t="n">
        <f aca="false">(H90-I90)/H90*100</f>
        <v>13.0059363194819</v>
      </c>
      <c r="P90" s="3" t="n">
        <f aca="false">IF(OR(F90="Delivered",F90="Partially Delivered"),1,0)</f>
        <v>1</v>
      </c>
      <c r="Q90" s="3" t="n">
        <f aca="false">IF(F90="Cancelled",1,0)</f>
        <v>0</v>
      </c>
      <c r="R90" s="3" t="n">
        <f aca="false">IF(K90="Yes",1,0)</f>
        <v>1</v>
      </c>
    </row>
    <row r="91" customFormat="false" ht="15" hidden="false" customHeight="false" outlineLevel="0" collapsed="false">
      <c r="A91" s="0" t="s">
        <v>269</v>
      </c>
      <c r="B91" s="0" t="s">
        <v>19</v>
      </c>
      <c r="C91" s="2" t="s">
        <v>41</v>
      </c>
      <c r="D91" s="2"/>
      <c r="E91" s="3" t="s">
        <v>39</v>
      </c>
      <c r="F91" s="3" t="s">
        <v>29</v>
      </c>
      <c r="G91" s="0" t="n">
        <v>1071</v>
      </c>
      <c r="H91" s="4" t="n">
        <v>101.6</v>
      </c>
      <c r="I91" s="4" t="n">
        <v>93.91</v>
      </c>
      <c r="J91" s="0" t="n">
        <v>25</v>
      </c>
      <c r="K91" s="3" t="s">
        <v>24</v>
      </c>
      <c r="L91" s="0" t="str">
        <f aca="false">IF(D91="","",IF(D91-C91&lt;0,"",D91-C91))</f>
        <v/>
      </c>
      <c r="M91" s="4" t="n">
        <f aca="false">G91*I91</f>
        <v>100577.61</v>
      </c>
      <c r="N91" s="5" t="n">
        <f aca="false">IF(J91="","",J91/G91*100)</f>
        <v>2.33426704014939</v>
      </c>
      <c r="O91" s="5" t="n">
        <f aca="false">(H91-I91)/H91*100</f>
        <v>7.56889763779527</v>
      </c>
      <c r="P91" s="3" t="n">
        <f aca="false">IF(OR(F91="Delivered",F91="Partially Delivered"),1,0)</f>
        <v>1</v>
      </c>
      <c r="Q91" s="3" t="n">
        <f aca="false">IF(F91="Cancelled",1,0)</f>
        <v>0</v>
      </c>
      <c r="R91" s="3" t="n">
        <f aca="false">IF(K91="Yes",1,0)</f>
        <v>1</v>
      </c>
    </row>
    <row r="92" customFormat="false" ht="15" hidden="false" customHeight="false" outlineLevel="0" collapsed="false">
      <c r="A92" s="0" t="s">
        <v>270</v>
      </c>
      <c r="B92" s="0" t="s">
        <v>46</v>
      </c>
      <c r="C92" s="2" t="s">
        <v>271</v>
      </c>
      <c r="D92" s="2" t="s">
        <v>272</v>
      </c>
      <c r="E92" s="3" t="s">
        <v>39</v>
      </c>
      <c r="F92" s="3" t="s">
        <v>62</v>
      </c>
      <c r="G92" s="0" t="n">
        <v>1463</v>
      </c>
      <c r="H92" s="4" t="n">
        <v>101.23</v>
      </c>
      <c r="I92" s="4" t="n">
        <v>86.17</v>
      </c>
      <c r="J92" s="0" t="n">
        <v>43</v>
      </c>
      <c r="K92" s="3" t="s">
        <v>24</v>
      </c>
      <c r="L92" s="3" t="n">
        <f aca="false">IF(D92="","",IF(D92-C92&lt;0,"",D92-C92))</f>
        <v>19</v>
      </c>
      <c r="M92" s="4" t="n">
        <f aca="false">G92*I92</f>
        <v>126066.71</v>
      </c>
      <c r="N92" s="5" t="n">
        <f aca="false">IF(J92="","",J92/G92*100)</f>
        <v>2.93916609706083</v>
      </c>
      <c r="O92" s="5" t="n">
        <f aca="false">(H92-I92)/H92*100</f>
        <v>14.8770127432579</v>
      </c>
      <c r="P92" s="3" t="n">
        <f aca="false">IF(OR(F92="Delivered",F92="Partially Delivered"),1,0)</f>
        <v>0</v>
      </c>
      <c r="Q92" s="3" t="n">
        <f aca="false">IF(F92="Cancelled",1,0)</f>
        <v>0</v>
      </c>
      <c r="R92" s="3" t="n">
        <f aca="false">IF(K92="Yes",1,0)</f>
        <v>1</v>
      </c>
    </row>
    <row r="93" customFormat="false" ht="15" hidden="false" customHeight="false" outlineLevel="0" collapsed="false">
      <c r="A93" s="0" t="s">
        <v>273</v>
      </c>
      <c r="B93" s="0" t="s">
        <v>36</v>
      </c>
      <c r="C93" s="2" t="s">
        <v>274</v>
      </c>
      <c r="D93" s="2" t="s">
        <v>275</v>
      </c>
      <c r="E93" s="3" t="s">
        <v>43</v>
      </c>
      <c r="F93" s="3" t="s">
        <v>29</v>
      </c>
      <c r="G93" s="0" t="n">
        <v>615</v>
      </c>
      <c r="H93" s="4" t="n">
        <v>78.3</v>
      </c>
      <c r="I93" s="4" t="n">
        <v>73.68</v>
      </c>
      <c r="J93" s="0" t="n">
        <v>69</v>
      </c>
      <c r="K93" s="3" t="s">
        <v>24</v>
      </c>
      <c r="L93" s="3" t="n">
        <f aca="false">IF(D93="","",IF(D93-C93&lt;0,"",D93-C93))</f>
        <v>7</v>
      </c>
      <c r="M93" s="4" t="n">
        <f aca="false">G93*I93</f>
        <v>45313.2</v>
      </c>
      <c r="N93" s="5" t="n">
        <f aca="false">IF(J93="","",J93/G93*100)</f>
        <v>11.219512195122</v>
      </c>
      <c r="O93" s="5" t="n">
        <f aca="false">(H93-I93)/H93*100</f>
        <v>5.90038314176244</v>
      </c>
      <c r="P93" s="3" t="n">
        <f aca="false">IF(OR(F93="Delivered",F93="Partially Delivered"),1,0)</f>
        <v>1</v>
      </c>
      <c r="Q93" s="3" t="n">
        <f aca="false">IF(F93="Cancelled",1,0)</f>
        <v>0</v>
      </c>
      <c r="R93" s="3" t="n">
        <f aca="false">IF(K93="Yes",1,0)</f>
        <v>1</v>
      </c>
    </row>
    <row r="94" customFormat="false" ht="15" hidden="false" customHeight="false" outlineLevel="0" collapsed="false">
      <c r="A94" s="0" t="s">
        <v>276</v>
      </c>
      <c r="B94" s="0" t="s">
        <v>31</v>
      </c>
      <c r="C94" s="2" t="s">
        <v>277</v>
      </c>
      <c r="D94" s="2" t="s">
        <v>278</v>
      </c>
      <c r="E94" s="3" t="s">
        <v>71</v>
      </c>
      <c r="F94" s="3" t="s">
        <v>29</v>
      </c>
      <c r="G94" s="0" t="n">
        <v>1179</v>
      </c>
      <c r="H94" s="4" t="n">
        <v>61.74</v>
      </c>
      <c r="I94" s="4" t="n">
        <v>56.28</v>
      </c>
      <c r="K94" s="3" t="s">
        <v>24</v>
      </c>
      <c r="L94" s="3" t="n">
        <f aca="false">IF(D94="","",IF(D94-C94&lt;0,"",D94-C94))</f>
        <v>18</v>
      </c>
      <c r="M94" s="4" t="n">
        <f aca="false">G94*I94</f>
        <v>66354.12</v>
      </c>
      <c r="N94" s="5" t="str">
        <f aca="false">IF(J94="","",J94/G94*100)</f>
        <v/>
      </c>
      <c r="O94" s="5" t="n">
        <f aca="false">(H94-I94)/H94*100</f>
        <v>8.84353741496599</v>
      </c>
      <c r="P94" s="3" t="n">
        <f aca="false">IF(OR(F94="Delivered",F94="Partially Delivered"),1,0)</f>
        <v>1</v>
      </c>
      <c r="Q94" s="3" t="n">
        <f aca="false">IF(F94="Cancelled",1,0)</f>
        <v>0</v>
      </c>
      <c r="R94" s="3" t="n">
        <f aca="false">IF(K94="Yes",1,0)</f>
        <v>1</v>
      </c>
    </row>
    <row r="95" customFormat="false" ht="15" hidden="false" customHeight="false" outlineLevel="0" collapsed="false">
      <c r="A95" s="0" t="s">
        <v>279</v>
      </c>
      <c r="B95" s="0" t="s">
        <v>19</v>
      </c>
      <c r="C95" s="2" t="s">
        <v>249</v>
      </c>
      <c r="D95" s="2" t="s">
        <v>37</v>
      </c>
      <c r="E95" s="3" t="s">
        <v>71</v>
      </c>
      <c r="F95" s="3" t="s">
        <v>58</v>
      </c>
      <c r="G95" s="0" t="n">
        <v>1845</v>
      </c>
      <c r="H95" s="4" t="n">
        <v>39.56</v>
      </c>
      <c r="I95" s="4" t="n">
        <v>37.63</v>
      </c>
      <c r="J95" s="0" t="n">
        <v>45</v>
      </c>
      <c r="K95" s="3" t="s">
        <v>24</v>
      </c>
      <c r="L95" s="3" t="n">
        <f aca="false">IF(D95="","",IF(D95-C95&lt;0,"",D95-C95))</f>
        <v>5</v>
      </c>
      <c r="M95" s="4" t="n">
        <f aca="false">G95*I95</f>
        <v>69427.35</v>
      </c>
      <c r="N95" s="5" t="n">
        <f aca="false">IF(J95="","",J95/G95*100)</f>
        <v>2.4390243902439</v>
      </c>
      <c r="O95" s="5" t="n">
        <f aca="false">(H95-I95)/H95*100</f>
        <v>4.87866531850354</v>
      </c>
      <c r="P95" s="3" t="n">
        <f aca="false">IF(OR(F95="Delivered",F95="Partially Delivered"),1,0)</f>
        <v>1</v>
      </c>
      <c r="Q95" s="3" t="n">
        <f aca="false">IF(F95="Cancelled",1,0)</f>
        <v>0</v>
      </c>
      <c r="R95" s="3" t="n">
        <f aca="false">IF(K95="Yes",1,0)</f>
        <v>1</v>
      </c>
    </row>
    <row r="96" customFormat="false" ht="15" hidden="false" customHeight="false" outlineLevel="0" collapsed="false">
      <c r="A96" s="0" t="s">
        <v>280</v>
      </c>
      <c r="B96" s="0" t="s">
        <v>36</v>
      </c>
      <c r="C96" s="2" t="s">
        <v>281</v>
      </c>
      <c r="D96" s="2"/>
      <c r="E96" s="3" t="s">
        <v>71</v>
      </c>
      <c r="F96" s="3" t="s">
        <v>23</v>
      </c>
      <c r="G96" s="0" t="n">
        <v>1895</v>
      </c>
      <c r="H96" s="4" t="n">
        <v>91.98</v>
      </c>
      <c r="I96" s="4" t="n">
        <v>86.27</v>
      </c>
      <c r="J96" s="0" t="n">
        <v>170</v>
      </c>
      <c r="K96" s="3" t="s">
        <v>24</v>
      </c>
      <c r="L96" s="0" t="str">
        <f aca="false">IF(D96="","",IF(D96-C96&lt;0,"",D96-C96))</f>
        <v/>
      </c>
      <c r="M96" s="4" t="n">
        <f aca="false">G96*I96</f>
        <v>163481.65</v>
      </c>
      <c r="N96" s="5" t="n">
        <f aca="false">IF(J96="","",J96/G96*100)</f>
        <v>8.97097625329815</v>
      </c>
      <c r="O96" s="5" t="n">
        <f aca="false">(H96-I96)/H96*100</f>
        <v>6.20787127636444</v>
      </c>
      <c r="P96" s="3" t="n">
        <f aca="false">IF(OR(F96="Delivered",F96="Partially Delivered"),1,0)</f>
        <v>0</v>
      </c>
      <c r="Q96" s="3" t="n">
        <f aca="false">IF(F96="Cancelled",1,0)</f>
        <v>1</v>
      </c>
      <c r="R96" s="3" t="n">
        <f aca="false">IF(K96="Yes",1,0)</f>
        <v>1</v>
      </c>
    </row>
    <row r="97" customFormat="false" ht="15" hidden="false" customHeight="false" outlineLevel="0" collapsed="false">
      <c r="A97" s="0" t="s">
        <v>282</v>
      </c>
      <c r="B97" s="0" t="s">
        <v>46</v>
      </c>
      <c r="C97" s="2" t="s">
        <v>283</v>
      </c>
      <c r="D97" s="2" t="s">
        <v>284</v>
      </c>
      <c r="E97" s="3" t="s">
        <v>34</v>
      </c>
      <c r="F97" s="3" t="s">
        <v>58</v>
      </c>
      <c r="G97" s="0" t="n">
        <v>1550</v>
      </c>
      <c r="H97" s="4" t="n">
        <v>79.86</v>
      </c>
      <c r="I97" s="4" t="n">
        <v>69.57</v>
      </c>
      <c r="J97" s="0" t="n">
        <v>32</v>
      </c>
      <c r="K97" s="3" t="s">
        <v>44</v>
      </c>
      <c r="L97" s="3" t="n">
        <f aca="false">IF(D97="","",IF(D97-C97&lt;0,"",D97-C97))</f>
        <v>3</v>
      </c>
      <c r="M97" s="4" t="n">
        <f aca="false">G97*I97</f>
        <v>107833.5</v>
      </c>
      <c r="N97" s="5" t="n">
        <f aca="false">IF(J97="","",J97/G97*100)</f>
        <v>2.06451612903226</v>
      </c>
      <c r="O97" s="5" t="n">
        <f aca="false">(H97-I97)/H97*100</f>
        <v>12.8850488354621</v>
      </c>
      <c r="P97" s="3" t="n">
        <f aca="false">IF(OR(F97="Delivered",F97="Partially Delivered"),1,0)</f>
        <v>1</v>
      </c>
      <c r="Q97" s="3" t="n">
        <f aca="false">IF(F97="Cancelled",1,0)</f>
        <v>0</v>
      </c>
      <c r="R97" s="3" t="n">
        <f aca="false">IF(K97="Yes",1,0)</f>
        <v>0</v>
      </c>
    </row>
    <row r="98" customFormat="false" ht="15" hidden="false" customHeight="false" outlineLevel="0" collapsed="false">
      <c r="A98" s="0" t="s">
        <v>285</v>
      </c>
      <c r="B98" s="0" t="s">
        <v>26</v>
      </c>
      <c r="C98" s="2" t="s">
        <v>61</v>
      </c>
      <c r="D98" s="2" t="s">
        <v>286</v>
      </c>
      <c r="E98" s="3" t="s">
        <v>39</v>
      </c>
      <c r="F98" s="3" t="s">
        <v>29</v>
      </c>
      <c r="G98" s="0" t="n">
        <v>752</v>
      </c>
      <c r="H98" s="4" t="n">
        <v>26.85</v>
      </c>
      <c r="I98" s="4" t="n">
        <v>24.37</v>
      </c>
      <c r="K98" s="3" t="s">
        <v>44</v>
      </c>
      <c r="L98" s="3" t="n">
        <f aca="false">IF(D98="","",IF(D98-C98&lt;0,"",D98-C98))</f>
        <v>10</v>
      </c>
      <c r="M98" s="4" t="n">
        <f aca="false">G98*I98</f>
        <v>18326.24</v>
      </c>
      <c r="N98" s="5" t="str">
        <f aca="false">IF(J98="","",J98/G98*100)</f>
        <v/>
      </c>
      <c r="O98" s="5" t="n">
        <f aca="false">(H98-I98)/H98*100</f>
        <v>9.2364990689013</v>
      </c>
      <c r="P98" s="3" t="n">
        <f aca="false">IF(OR(F98="Delivered",F98="Partially Delivered"),1,0)</f>
        <v>1</v>
      </c>
      <c r="Q98" s="3" t="n">
        <f aca="false">IF(F98="Cancelled",1,0)</f>
        <v>0</v>
      </c>
      <c r="R98" s="3" t="n">
        <f aca="false">IF(K98="Yes",1,0)</f>
        <v>0</v>
      </c>
    </row>
    <row r="99" customFormat="false" ht="15" hidden="false" customHeight="false" outlineLevel="0" collapsed="false">
      <c r="A99" s="0" t="s">
        <v>287</v>
      </c>
      <c r="B99" s="0" t="s">
        <v>46</v>
      </c>
      <c r="C99" s="2" t="s">
        <v>288</v>
      </c>
      <c r="D99" s="2" t="s">
        <v>289</v>
      </c>
      <c r="E99" s="3" t="s">
        <v>71</v>
      </c>
      <c r="F99" s="3" t="s">
        <v>29</v>
      </c>
      <c r="G99" s="0" t="n">
        <v>451</v>
      </c>
      <c r="H99" s="4" t="n">
        <v>95.2</v>
      </c>
      <c r="I99" s="4" t="n">
        <v>90.07</v>
      </c>
      <c r="J99" s="0" t="n">
        <v>21</v>
      </c>
      <c r="K99" s="3" t="s">
        <v>24</v>
      </c>
      <c r="L99" s="3" t="n">
        <f aca="false">IF(D99="","",IF(D99-C99&lt;0,"",D99-C99))</f>
        <v>19</v>
      </c>
      <c r="M99" s="4" t="n">
        <f aca="false">G99*I99</f>
        <v>40621.57</v>
      </c>
      <c r="N99" s="5" t="n">
        <f aca="false">IF(J99="","",J99/G99*100)</f>
        <v>4.65631929046563</v>
      </c>
      <c r="O99" s="5" t="n">
        <f aca="false">(H99-I99)/H99*100</f>
        <v>5.38865546218488</v>
      </c>
      <c r="P99" s="3" t="n">
        <f aca="false">IF(OR(F99="Delivered",F99="Partially Delivered"),1,0)</f>
        <v>1</v>
      </c>
      <c r="Q99" s="3" t="n">
        <f aca="false">IF(F99="Cancelled",1,0)</f>
        <v>0</v>
      </c>
      <c r="R99" s="3" t="n">
        <f aca="false">IF(K99="Yes",1,0)</f>
        <v>1</v>
      </c>
    </row>
    <row r="100" customFormat="false" ht="15" hidden="false" customHeight="false" outlineLevel="0" collapsed="false">
      <c r="A100" s="0" t="s">
        <v>290</v>
      </c>
      <c r="B100" s="0" t="s">
        <v>36</v>
      </c>
      <c r="C100" s="2" t="s">
        <v>291</v>
      </c>
      <c r="D100" s="2"/>
      <c r="E100" s="3" t="s">
        <v>22</v>
      </c>
      <c r="F100" s="3" t="s">
        <v>29</v>
      </c>
      <c r="G100" s="0" t="n">
        <v>779</v>
      </c>
      <c r="H100" s="4" t="n">
        <v>93.69</v>
      </c>
      <c r="I100" s="4" t="n">
        <v>90.92</v>
      </c>
      <c r="J100" s="0" t="n">
        <v>66</v>
      </c>
      <c r="K100" s="3" t="s">
        <v>24</v>
      </c>
      <c r="L100" s="0" t="str">
        <f aca="false">IF(D100="","",IF(D100-C100&lt;0,"",D100-C100))</f>
        <v/>
      </c>
      <c r="M100" s="4" t="n">
        <f aca="false">G100*I100</f>
        <v>70826.68</v>
      </c>
      <c r="N100" s="5" t="n">
        <f aca="false">IF(J100="","",J100/G100*100)</f>
        <v>8.47240051347882</v>
      </c>
      <c r="O100" s="5" t="n">
        <f aca="false">(H100-I100)/H100*100</f>
        <v>2.95655886433984</v>
      </c>
      <c r="P100" s="3" t="n">
        <f aca="false">IF(OR(F100="Delivered",F100="Partially Delivered"),1,0)</f>
        <v>1</v>
      </c>
      <c r="Q100" s="3" t="n">
        <f aca="false">IF(F100="Cancelled",1,0)</f>
        <v>0</v>
      </c>
      <c r="R100" s="3" t="n">
        <f aca="false">IF(K100="Yes",1,0)</f>
        <v>1</v>
      </c>
    </row>
    <row r="101" customFormat="false" ht="15" hidden="false" customHeight="false" outlineLevel="0" collapsed="false">
      <c r="A101" s="0" t="s">
        <v>292</v>
      </c>
      <c r="B101" s="0" t="s">
        <v>36</v>
      </c>
      <c r="C101" s="2" t="s">
        <v>293</v>
      </c>
      <c r="D101" s="2" t="s">
        <v>294</v>
      </c>
      <c r="E101" s="3" t="s">
        <v>34</v>
      </c>
      <c r="F101" s="3" t="s">
        <v>62</v>
      </c>
      <c r="G101" s="0" t="n">
        <v>1629</v>
      </c>
      <c r="H101" s="4" t="n">
        <v>100.26</v>
      </c>
      <c r="I101" s="4" t="n">
        <v>86.44</v>
      </c>
      <c r="J101" s="0" t="n">
        <v>187</v>
      </c>
      <c r="K101" s="3" t="s">
        <v>44</v>
      </c>
      <c r="L101" s="3" t="n">
        <f aca="false">IF(D101="","",IF(D101-C101&lt;0,"",D101-C101))</f>
        <v>15</v>
      </c>
      <c r="M101" s="4" t="n">
        <f aca="false">G101*I101</f>
        <v>140810.76</v>
      </c>
      <c r="N101" s="5" t="n">
        <f aca="false">IF(J101="","",J101/G101*100)</f>
        <v>11.4794352363413</v>
      </c>
      <c r="O101" s="5" t="n">
        <f aca="false">(H101-I101)/H101*100</f>
        <v>13.7841611809296</v>
      </c>
      <c r="P101" s="3" t="n">
        <f aca="false">IF(OR(F101="Delivered",F101="Partially Delivered"),1,0)</f>
        <v>0</v>
      </c>
      <c r="Q101" s="3" t="n">
        <f aca="false">IF(F101="Cancelled",1,0)</f>
        <v>0</v>
      </c>
      <c r="R101" s="3" t="n">
        <f aca="false">IF(K101="Yes",1,0)</f>
        <v>0</v>
      </c>
    </row>
    <row r="102" customFormat="false" ht="15" hidden="false" customHeight="false" outlineLevel="0" collapsed="false">
      <c r="A102" s="0" t="s">
        <v>295</v>
      </c>
      <c r="B102" s="0" t="s">
        <v>19</v>
      </c>
      <c r="C102" s="2" t="s">
        <v>296</v>
      </c>
      <c r="D102" s="2" t="s">
        <v>297</v>
      </c>
      <c r="E102" s="3" t="s">
        <v>22</v>
      </c>
      <c r="F102" s="3" t="s">
        <v>29</v>
      </c>
      <c r="G102" s="0" t="n">
        <v>211</v>
      </c>
      <c r="H102" s="4" t="n">
        <v>75.69</v>
      </c>
      <c r="I102" s="4" t="n">
        <v>65.4</v>
      </c>
      <c r="J102" s="0" t="n">
        <v>2</v>
      </c>
      <c r="K102" s="3" t="s">
        <v>24</v>
      </c>
      <c r="L102" s="0" t="str">
        <f aca="false">IF(D102="","",IF(D102-C102&lt;0,"",D102-C102))</f>
        <v/>
      </c>
      <c r="M102" s="4" t="n">
        <f aca="false">G102*I102</f>
        <v>13799.4</v>
      </c>
      <c r="N102" s="5" t="n">
        <f aca="false">IF(J102="","",J102/G102*100)</f>
        <v>0.947867298578199</v>
      </c>
      <c r="O102" s="5" t="n">
        <f aca="false">(H102-I102)/H102*100</f>
        <v>13.5949266745937</v>
      </c>
      <c r="P102" s="3" t="n">
        <f aca="false">IF(OR(F102="Delivered",F102="Partially Delivered"),1,0)</f>
        <v>1</v>
      </c>
      <c r="Q102" s="3" t="n">
        <f aca="false">IF(F102="Cancelled",1,0)</f>
        <v>0</v>
      </c>
      <c r="R102" s="3" t="n">
        <f aca="false">IF(K102="Yes",1,0)</f>
        <v>1</v>
      </c>
    </row>
    <row r="103" customFormat="false" ht="15" hidden="false" customHeight="false" outlineLevel="0" collapsed="false">
      <c r="A103" s="0" t="s">
        <v>298</v>
      </c>
      <c r="B103" s="0" t="s">
        <v>19</v>
      </c>
      <c r="C103" s="2" t="s">
        <v>113</v>
      </c>
      <c r="D103" s="2"/>
      <c r="E103" s="3" t="s">
        <v>22</v>
      </c>
      <c r="F103" s="3" t="s">
        <v>29</v>
      </c>
      <c r="G103" s="0" t="n">
        <v>251</v>
      </c>
      <c r="H103" s="4" t="n">
        <v>67.49</v>
      </c>
      <c r="I103" s="4" t="n">
        <v>64.48</v>
      </c>
      <c r="J103" s="0" t="n">
        <v>2</v>
      </c>
      <c r="K103" s="3" t="s">
        <v>24</v>
      </c>
      <c r="L103" s="0" t="str">
        <f aca="false">IF(D103="","",IF(D103-C103&lt;0,"",D103-C103))</f>
        <v/>
      </c>
      <c r="M103" s="4" t="n">
        <f aca="false">G103*I103</f>
        <v>16184.48</v>
      </c>
      <c r="N103" s="5" t="n">
        <f aca="false">IF(J103="","",J103/G103*100)</f>
        <v>0.796812749003984</v>
      </c>
      <c r="O103" s="5" t="n">
        <f aca="false">(H103-I103)/H103*100</f>
        <v>4.45991998814638</v>
      </c>
      <c r="P103" s="3" t="n">
        <f aca="false">IF(OR(F103="Delivered",F103="Partially Delivered"),1,0)</f>
        <v>1</v>
      </c>
      <c r="Q103" s="3" t="n">
        <f aca="false">IF(F103="Cancelled",1,0)</f>
        <v>0</v>
      </c>
      <c r="R103" s="3" t="n">
        <f aca="false">IF(K103="Yes",1,0)</f>
        <v>1</v>
      </c>
    </row>
    <row r="104" customFormat="false" ht="15" hidden="false" customHeight="false" outlineLevel="0" collapsed="false">
      <c r="A104" s="0" t="s">
        <v>299</v>
      </c>
      <c r="B104" s="0" t="s">
        <v>31</v>
      </c>
      <c r="C104" s="2" t="s">
        <v>73</v>
      </c>
      <c r="D104" s="2" t="s">
        <v>76</v>
      </c>
      <c r="E104" s="3" t="s">
        <v>43</v>
      </c>
      <c r="F104" s="3" t="s">
        <v>29</v>
      </c>
      <c r="G104" s="0" t="n">
        <v>1045</v>
      </c>
      <c r="H104" s="4" t="n">
        <v>47.88</v>
      </c>
      <c r="I104" s="4" t="n">
        <v>44.65</v>
      </c>
      <c r="J104" s="0" t="n">
        <v>69</v>
      </c>
      <c r="K104" s="3" t="s">
        <v>24</v>
      </c>
      <c r="L104" s="3" t="n">
        <f aca="false">IF(D104="","",IF(D104-C104&lt;0,"",D104-C104))</f>
        <v>16</v>
      </c>
      <c r="M104" s="4" t="n">
        <f aca="false">G104*I104</f>
        <v>46659.25</v>
      </c>
      <c r="N104" s="5" t="n">
        <f aca="false">IF(J104="","",J104/G104*100)</f>
        <v>6.60287081339713</v>
      </c>
      <c r="O104" s="5" t="n">
        <f aca="false">(H104-I104)/H104*100</f>
        <v>6.74603174603175</v>
      </c>
      <c r="P104" s="3" t="n">
        <f aca="false">IF(OR(F104="Delivered",F104="Partially Delivered"),1,0)</f>
        <v>1</v>
      </c>
      <c r="Q104" s="3" t="n">
        <f aca="false">IF(F104="Cancelled",1,0)</f>
        <v>0</v>
      </c>
      <c r="R104" s="3" t="n">
        <f aca="false">IF(K104="Yes",1,0)</f>
        <v>1</v>
      </c>
    </row>
    <row r="105" customFormat="false" ht="15" hidden="false" customHeight="false" outlineLevel="0" collapsed="false">
      <c r="A105" s="0" t="s">
        <v>300</v>
      </c>
      <c r="B105" s="0" t="s">
        <v>26</v>
      </c>
      <c r="C105" s="2" t="s">
        <v>301</v>
      </c>
      <c r="D105" s="2" t="s">
        <v>302</v>
      </c>
      <c r="E105" s="3" t="s">
        <v>34</v>
      </c>
      <c r="F105" s="3" t="s">
        <v>29</v>
      </c>
      <c r="G105" s="0" t="n">
        <v>319</v>
      </c>
      <c r="H105" s="4" t="n">
        <v>98.64</v>
      </c>
      <c r="I105" s="4" t="n">
        <v>89.15</v>
      </c>
      <c r="J105" s="0" t="n">
        <v>57</v>
      </c>
      <c r="K105" s="3" t="s">
        <v>24</v>
      </c>
      <c r="L105" s="3" t="n">
        <f aca="false">IF(D105="","",IF(D105-C105&lt;0,"",D105-C105))</f>
        <v>20</v>
      </c>
      <c r="M105" s="4" t="n">
        <f aca="false">G105*I105</f>
        <v>28438.85</v>
      </c>
      <c r="N105" s="5" t="n">
        <f aca="false">IF(J105="","",J105/G105*100)</f>
        <v>17.8683385579937</v>
      </c>
      <c r="O105" s="5" t="n">
        <f aca="false">(H105-I105)/H105*100</f>
        <v>9.62084347120843</v>
      </c>
      <c r="P105" s="3" t="n">
        <f aca="false">IF(OR(F105="Delivered",F105="Partially Delivered"),1,0)</f>
        <v>1</v>
      </c>
      <c r="Q105" s="3" t="n">
        <f aca="false">IF(F105="Cancelled",1,0)</f>
        <v>0</v>
      </c>
      <c r="R105" s="3" t="n">
        <f aca="false">IF(K105="Yes",1,0)</f>
        <v>1</v>
      </c>
    </row>
    <row r="106" customFormat="false" ht="15" hidden="false" customHeight="false" outlineLevel="0" collapsed="false">
      <c r="A106" s="0" t="s">
        <v>303</v>
      </c>
      <c r="B106" s="0" t="s">
        <v>46</v>
      </c>
      <c r="C106" s="2" t="s">
        <v>304</v>
      </c>
      <c r="D106" s="2" t="s">
        <v>305</v>
      </c>
      <c r="E106" s="3" t="s">
        <v>22</v>
      </c>
      <c r="F106" s="3" t="s">
        <v>58</v>
      </c>
      <c r="G106" s="0" t="n">
        <v>1936</v>
      </c>
      <c r="H106" s="4" t="n">
        <v>93.66</v>
      </c>
      <c r="I106" s="4" t="n">
        <v>92.24</v>
      </c>
      <c r="J106" s="0" t="n">
        <v>58</v>
      </c>
      <c r="K106" s="3" t="s">
        <v>24</v>
      </c>
      <c r="L106" s="3" t="n">
        <f aca="false">IF(D106="","",IF(D106-C106&lt;0,"",D106-C106))</f>
        <v>14</v>
      </c>
      <c r="M106" s="4" t="n">
        <f aca="false">G106*I106</f>
        <v>178576.64</v>
      </c>
      <c r="N106" s="5" t="n">
        <f aca="false">IF(J106="","",J106/G106*100)</f>
        <v>2.99586776859504</v>
      </c>
      <c r="O106" s="5" t="n">
        <f aca="false">(H106-I106)/H106*100</f>
        <v>1.51612214392484</v>
      </c>
      <c r="P106" s="3" t="n">
        <f aca="false">IF(OR(F106="Delivered",F106="Partially Delivered"),1,0)</f>
        <v>1</v>
      </c>
      <c r="Q106" s="3" t="n">
        <f aca="false">IF(F106="Cancelled",1,0)</f>
        <v>0</v>
      </c>
      <c r="R106" s="3" t="n">
        <f aca="false">IF(K106="Yes",1,0)</f>
        <v>1</v>
      </c>
    </row>
    <row r="107" customFormat="false" ht="15" hidden="false" customHeight="false" outlineLevel="0" collapsed="false">
      <c r="A107" s="0" t="s">
        <v>306</v>
      </c>
      <c r="B107" s="0" t="s">
        <v>26</v>
      </c>
      <c r="C107" s="2" t="s">
        <v>307</v>
      </c>
      <c r="D107" s="2" t="s">
        <v>308</v>
      </c>
      <c r="E107" s="3" t="s">
        <v>34</v>
      </c>
      <c r="F107" s="3" t="s">
        <v>23</v>
      </c>
      <c r="G107" s="0" t="n">
        <v>865</v>
      </c>
      <c r="H107" s="4" t="n">
        <v>14.7</v>
      </c>
      <c r="I107" s="4" t="n">
        <v>13.14</v>
      </c>
      <c r="J107" s="0" t="n">
        <v>135</v>
      </c>
      <c r="K107" s="3" t="s">
        <v>44</v>
      </c>
      <c r="L107" s="3" t="n">
        <f aca="false">IF(D107="","",IF(D107-C107&lt;0,"",D107-C107))</f>
        <v>20</v>
      </c>
      <c r="M107" s="4" t="n">
        <f aca="false">G107*I107</f>
        <v>11366.1</v>
      </c>
      <c r="N107" s="5" t="n">
        <f aca="false">IF(J107="","",J107/G107*100)</f>
        <v>15.606936416185</v>
      </c>
      <c r="O107" s="5" t="n">
        <f aca="false">(H107-I107)/H107*100</f>
        <v>10.6122448979592</v>
      </c>
      <c r="P107" s="3" t="n">
        <f aca="false">IF(OR(F107="Delivered",F107="Partially Delivered"),1,0)</f>
        <v>0</v>
      </c>
      <c r="Q107" s="3" t="n">
        <f aca="false">IF(F107="Cancelled",1,0)</f>
        <v>1</v>
      </c>
      <c r="R107" s="3" t="n">
        <f aca="false">IF(K107="Yes",1,0)</f>
        <v>0</v>
      </c>
    </row>
    <row r="108" customFormat="false" ht="15" hidden="false" customHeight="false" outlineLevel="0" collapsed="false">
      <c r="A108" s="0" t="s">
        <v>309</v>
      </c>
      <c r="B108" s="0" t="s">
        <v>46</v>
      </c>
      <c r="C108" s="2" t="s">
        <v>310</v>
      </c>
      <c r="D108" s="2" t="s">
        <v>311</v>
      </c>
      <c r="E108" s="3" t="s">
        <v>71</v>
      </c>
      <c r="F108" s="3" t="s">
        <v>29</v>
      </c>
      <c r="G108" s="0" t="n">
        <v>1344</v>
      </c>
      <c r="H108" s="4" t="n">
        <v>12.5</v>
      </c>
      <c r="I108" s="4" t="n">
        <v>10.87</v>
      </c>
      <c r="J108" s="0" t="n">
        <v>44</v>
      </c>
      <c r="K108" s="3" t="s">
        <v>24</v>
      </c>
      <c r="L108" s="3" t="n">
        <f aca="false">IF(D108="","",IF(D108-C108&lt;0,"",D108-C108))</f>
        <v>3</v>
      </c>
      <c r="M108" s="4" t="n">
        <f aca="false">G108*I108</f>
        <v>14609.28</v>
      </c>
      <c r="N108" s="5" t="n">
        <f aca="false">IF(J108="","",J108/G108*100)</f>
        <v>3.27380952380952</v>
      </c>
      <c r="O108" s="5" t="n">
        <f aca="false">(H108-I108)/H108*100</f>
        <v>13.04</v>
      </c>
      <c r="P108" s="3" t="n">
        <f aca="false">IF(OR(F108="Delivered",F108="Partially Delivered"),1,0)</f>
        <v>1</v>
      </c>
      <c r="Q108" s="3" t="n">
        <f aca="false">IF(F108="Cancelled",1,0)</f>
        <v>0</v>
      </c>
      <c r="R108" s="3" t="n">
        <f aca="false">IF(K108="Yes",1,0)</f>
        <v>1</v>
      </c>
    </row>
    <row r="109" customFormat="false" ht="15" hidden="false" customHeight="false" outlineLevel="0" collapsed="false">
      <c r="A109" s="0" t="s">
        <v>312</v>
      </c>
      <c r="B109" s="0" t="s">
        <v>26</v>
      </c>
      <c r="C109" s="2" t="s">
        <v>313</v>
      </c>
      <c r="D109" s="2" t="s">
        <v>314</v>
      </c>
      <c r="E109" s="3" t="s">
        <v>43</v>
      </c>
      <c r="F109" s="3" t="s">
        <v>62</v>
      </c>
      <c r="G109" s="0" t="n">
        <v>505</v>
      </c>
      <c r="H109" s="4" t="n">
        <v>45.42</v>
      </c>
      <c r="I109" s="4" t="n">
        <v>40.37</v>
      </c>
      <c r="J109" s="0" t="n">
        <v>62</v>
      </c>
      <c r="K109" s="3" t="s">
        <v>24</v>
      </c>
      <c r="L109" s="3" t="n">
        <f aca="false">IF(D109="","",IF(D109-C109&lt;0,"",D109-C109))</f>
        <v>19</v>
      </c>
      <c r="M109" s="4" t="n">
        <f aca="false">G109*I109</f>
        <v>20386.85</v>
      </c>
      <c r="N109" s="5" t="n">
        <f aca="false">IF(J109="","",J109/G109*100)</f>
        <v>12.2772277227723</v>
      </c>
      <c r="O109" s="5" t="n">
        <f aca="false">(H109-I109)/H109*100</f>
        <v>11.1184500220167</v>
      </c>
      <c r="P109" s="3" t="n">
        <f aca="false">IF(OR(F109="Delivered",F109="Partially Delivered"),1,0)</f>
        <v>0</v>
      </c>
      <c r="Q109" s="3" t="n">
        <f aca="false">IF(F109="Cancelled",1,0)</f>
        <v>0</v>
      </c>
      <c r="R109" s="3" t="n">
        <f aca="false">IF(K109="Yes",1,0)</f>
        <v>1</v>
      </c>
    </row>
    <row r="110" customFormat="false" ht="15" hidden="false" customHeight="false" outlineLevel="0" collapsed="false">
      <c r="A110" s="0" t="s">
        <v>315</v>
      </c>
      <c r="B110" s="0" t="s">
        <v>36</v>
      </c>
      <c r="C110" s="2" t="s">
        <v>286</v>
      </c>
      <c r="D110" s="2" t="s">
        <v>316</v>
      </c>
      <c r="E110" s="3" t="s">
        <v>39</v>
      </c>
      <c r="F110" s="3" t="s">
        <v>29</v>
      </c>
      <c r="G110" s="0" t="n">
        <v>1535</v>
      </c>
      <c r="H110" s="4" t="n">
        <v>90.83</v>
      </c>
      <c r="I110" s="4" t="n">
        <v>78.28</v>
      </c>
      <c r="J110" s="0" t="n">
        <v>151</v>
      </c>
      <c r="K110" s="3" t="s">
        <v>44</v>
      </c>
      <c r="L110" s="3" t="n">
        <f aca="false">IF(D110="","",IF(D110-C110&lt;0,"",D110-C110))</f>
        <v>1</v>
      </c>
      <c r="M110" s="4" t="n">
        <f aca="false">G110*I110</f>
        <v>120159.8</v>
      </c>
      <c r="N110" s="5" t="n">
        <f aca="false">IF(J110="","",J110/G110*100)</f>
        <v>9.8371335504886</v>
      </c>
      <c r="O110" s="5" t="n">
        <f aca="false">(H110-I110)/H110*100</f>
        <v>13.817020808103</v>
      </c>
      <c r="P110" s="3" t="n">
        <f aca="false">IF(OR(F110="Delivered",F110="Partially Delivered"),1,0)</f>
        <v>1</v>
      </c>
      <c r="Q110" s="3" t="n">
        <f aca="false">IF(F110="Cancelled",1,0)</f>
        <v>0</v>
      </c>
      <c r="R110" s="3" t="n">
        <f aca="false">IF(K110="Yes",1,0)</f>
        <v>0</v>
      </c>
    </row>
    <row r="111" customFormat="false" ht="15" hidden="false" customHeight="false" outlineLevel="0" collapsed="false">
      <c r="A111" s="0" t="s">
        <v>317</v>
      </c>
      <c r="B111" s="0" t="s">
        <v>36</v>
      </c>
      <c r="C111" s="2" t="s">
        <v>318</v>
      </c>
      <c r="D111" s="2"/>
      <c r="E111" s="3" t="s">
        <v>22</v>
      </c>
      <c r="F111" s="3" t="s">
        <v>29</v>
      </c>
      <c r="G111" s="0" t="n">
        <v>1800</v>
      </c>
      <c r="H111" s="4" t="n">
        <v>103.8</v>
      </c>
      <c r="I111" s="4" t="n">
        <v>96.27</v>
      </c>
      <c r="J111" s="0" t="n">
        <v>166</v>
      </c>
      <c r="K111" s="3" t="s">
        <v>24</v>
      </c>
      <c r="L111" s="0" t="str">
        <f aca="false">IF(D111="","",IF(D111-C111&lt;0,"",D111-C111))</f>
        <v/>
      </c>
      <c r="M111" s="4" t="n">
        <f aca="false">G111*I111</f>
        <v>173286</v>
      </c>
      <c r="N111" s="5" t="n">
        <f aca="false">IF(J111="","",J111/G111*100)</f>
        <v>9.22222222222222</v>
      </c>
      <c r="O111" s="5" t="n">
        <f aca="false">(H111-I111)/H111*100</f>
        <v>7.25433526011561</v>
      </c>
      <c r="P111" s="3" t="n">
        <f aca="false">IF(OR(F111="Delivered",F111="Partially Delivered"),1,0)</f>
        <v>1</v>
      </c>
      <c r="Q111" s="3" t="n">
        <f aca="false">IF(F111="Cancelled",1,0)</f>
        <v>0</v>
      </c>
      <c r="R111" s="3" t="n">
        <f aca="false">IF(K111="Yes",1,0)</f>
        <v>1</v>
      </c>
    </row>
    <row r="112" customFormat="false" ht="15" hidden="false" customHeight="false" outlineLevel="0" collapsed="false">
      <c r="A112" s="0" t="s">
        <v>319</v>
      </c>
      <c r="B112" s="0" t="s">
        <v>26</v>
      </c>
      <c r="C112" s="2" t="s">
        <v>320</v>
      </c>
      <c r="D112" s="2" t="s">
        <v>321</v>
      </c>
      <c r="E112" s="3" t="s">
        <v>43</v>
      </c>
      <c r="F112" s="3" t="s">
        <v>62</v>
      </c>
      <c r="G112" s="0" t="n">
        <v>1325</v>
      </c>
      <c r="H112" s="4" t="n">
        <v>24.36</v>
      </c>
      <c r="I112" s="4" t="n">
        <v>22.75</v>
      </c>
      <c r="J112" s="0" t="n">
        <v>206</v>
      </c>
      <c r="K112" s="3" t="s">
        <v>24</v>
      </c>
      <c r="L112" s="3" t="n">
        <f aca="false">IF(D112="","",IF(D112-C112&lt;0,"",D112-C112))</f>
        <v>9</v>
      </c>
      <c r="M112" s="4" t="n">
        <f aca="false">G112*I112</f>
        <v>30143.75</v>
      </c>
      <c r="N112" s="5" t="n">
        <f aca="false">IF(J112="","",J112/G112*100)</f>
        <v>15.5471698113208</v>
      </c>
      <c r="O112" s="5" t="n">
        <f aca="false">(H112-I112)/H112*100</f>
        <v>6.60919540229885</v>
      </c>
      <c r="P112" s="3" t="n">
        <f aca="false">IF(OR(F112="Delivered",F112="Partially Delivered"),1,0)</f>
        <v>0</v>
      </c>
      <c r="Q112" s="3" t="n">
        <f aca="false">IF(F112="Cancelled",1,0)</f>
        <v>0</v>
      </c>
      <c r="R112" s="3" t="n">
        <f aca="false">IF(K112="Yes",1,0)</f>
        <v>1</v>
      </c>
    </row>
    <row r="113" customFormat="false" ht="15" hidden="false" customHeight="false" outlineLevel="0" collapsed="false">
      <c r="A113" s="0" t="s">
        <v>322</v>
      </c>
      <c r="B113" s="0" t="s">
        <v>31</v>
      </c>
      <c r="C113" s="2" t="s">
        <v>103</v>
      </c>
      <c r="D113" s="2" t="s">
        <v>210</v>
      </c>
      <c r="E113" s="3" t="s">
        <v>43</v>
      </c>
      <c r="F113" s="3" t="s">
        <v>29</v>
      </c>
      <c r="G113" s="0" t="n">
        <v>1066</v>
      </c>
      <c r="H113" s="4" t="n">
        <v>70.45</v>
      </c>
      <c r="I113" s="4" t="n">
        <v>65.88</v>
      </c>
      <c r="J113" s="0" t="n">
        <v>56</v>
      </c>
      <c r="K113" s="3" t="s">
        <v>44</v>
      </c>
      <c r="L113" s="3" t="n">
        <f aca="false">IF(D113="","",IF(D113-C113&lt;0,"",D113-C113))</f>
        <v>6</v>
      </c>
      <c r="M113" s="4" t="n">
        <f aca="false">G113*I113</f>
        <v>70228.08</v>
      </c>
      <c r="N113" s="5" t="n">
        <f aca="false">IF(J113="","",J113/G113*100)</f>
        <v>5.25328330206379</v>
      </c>
      <c r="O113" s="5" t="n">
        <f aca="false">(H113-I113)/H113*100</f>
        <v>6.48687012065296</v>
      </c>
      <c r="P113" s="3" t="n">
        <f aca="false">IF(OR(F113="Delivered",F113="Partially Delivered"),1,0)</f>
        <v>1</v>
      </c>
      <c r="Q113" s="3" t="n">
        <f aca="false">IF(F113="Cancelled",1,0)</f>
        <v>0</v>
      </c>
      <c r="R113" s="3" t="n">
        <f aca="false">IF(K113="Yes",1,0)</f>
        <v>0</v>
      </c>
    </row>
    <row r="114" customFormat="false" ht="15" hidden="false" customHeight="false" outlineLevel="0" collapsed="false">
      <c r="A114" s="0" t="s">
        <v>323</v>
      </c>
      <c r="B114" s="0" t="s">
        <v>36</v>
      </c>
      <c r="C114" s="2" t="s">
        <v>324</v>
      </c>
      <c r="D114" s="2" t="s">
        <v>325</v>
      </c>
      <c r="E114" s="3" t="s">
        <v>43</v>
      </c>
      <c r="F114" s="3" t="s">
        <v>29</v>
      </c>
      <c r="G114" s="0" t="n">
        <v>1775</v>
      </c>
      <c r="H114" s="4" t="n">
        <v>47.82</v>
      </c>
      <c r="I114" s="4" t="n">
        <v>45.86</v>
      </c>
      <c r="J114" s="0" t="n">
        <v>180</v>
      </c>
      <c r="K114" s="3" t="s">
        <v>24</v>
      </c>
      <c r="L114" s="3" t="n">
        <f aca="false">IF(D114="","",IF(D114-C114&lt;0,"",D114-C114))</f>
        <v>15</v>
      </c>
      <c r="M114" s="4" t="n">
        <f aca="false">G114*I114</f>
        <v>81401.5</v>
      </c>
      <c r="N114" s="5" t="n">
        <f aca="false">IF(J114="","",J114/G114*100)</f>
        <v>10.1408450704225</v>
      </c>
      <c r="O114" s="5" t="n">
        <f aca="false">(H114-I114)/H114*100</f>
        <v>4.0987034713509</v>
      </c>
      <c r="P114" s="3" t="n">
        <f aca="false">IF(OR(F114="Delivered",F114="Partially Delivered"),1,0)</f>
        <v>1</v>
      </c>
      <c r="Q114" s="3" t="n">
        <f aca="false">IF(F114="Cancelled",1,0)</f>
        <v>0</v>
      </c>
      <c r="R114" s="3" t="n">
        <f aca="false">IF(K114="Yes",1,0)</f>
        <v>1</v>
      </c>
    </row>
    <row r="115" customFormat="false" ht="15" hidden="false" customHeight="false" outlineLevel="0" collapsed="false">
      <c r="A115" s="0" t="s">
        <v>326</v>
      </c>
      <c r="B115" s="0" t="s">
        <v>31</v>
      </c>
      <c r="C115" s="2" t="s">
        <v>327</v>
      </c>
      <c r="D115" s="2"/>
      <c r="E115" s="3" t="s">
        <v>43</v>
      </c>
      <c r="F115" s="3" t="s">
        <v>58</v>
      </c>
      <c r="G115" s="0" t="n">
        <v>345</v>
      </c>
      <c r="H115" s="4" t="n">
        <v>103.62</v>
      </c>
      <c r="I115" s="4" t="n">
        <v>98.09</v>
      </c>
      <c r="J115" s="0" t="n">
        <v>25</v>
      </c>
      <c r="K115" s="3" t="s">
        <v>44</v>
      </c>
      <c r="L115" s="0" t="str">
        <f aca="false">IF(D115="","",IF(D115-C115&lt;0,"",D115-C115))</f>
        <v/>
      </c>
      <c r="M115" s="4" t="n">
        <f aca="false">G115*I115</f>
        <v>33841.05</v>
      </c>
      <c r="N115" s="5" t="n">
        <f aca="false">IF(J115="","",J115/G115*100)</f>
        <v>7.2463768115942</v>
      </c>
      <c r="O115" s="5" t="n">
        <f aca="false">(H115-I115)/H115*100</f>
        <v>5.33680756610693</v>
      </c>
      <c r="P115" s="3" t="n">
        <f aca="false">IF(OR(F115="Delivered",F115="Partially Delivered"),1,0)</f>
        <v>1</v>
      </c>
      <c r="Q115" s="3" t="n">
        <f aca="false">IF(F115="Cancelled",1,0)</f>
        <v>0</v>
      </c>
      <c r="R115" s="3" t="n">
        <f aca="false">IF(K115="Yes",1,0)</f>
        <v>0</v>
      </c>
    </row>
    <row r="116" customFormat="false" ht="15" hidden="false" customHeight="false" outlineLevel="0" collapsed="false">
      <c r="A116" s="0" t="s">
        <v>328</v>
      </c>
      <c r="B116" s="0" t="s">
        <v>36</v>
      </c>
      <c r="C116" s="2" t="s">
        <v>329</v>
      </c>
      <c r="D116" s="2" t="s">
        <v>210</v>
      </c>
      <c r="E116" s="3" t="s">
        <v>71</v>
      </c>
      <c r="F116" s="3" t="s">
        <v>29</v>
      </c>
      <c r="G116" s="0" t="n">
        <v>1798</v>
      </c>
      <c r="H116" s="4" t="n">
        <v>94.8</v>
      </c>
      <c r="I116" s="4" t="n">
        <v>91.83</v>
      </c>
      <c r="K116" s="3" t="s">
        <v>24</v>
      </c>
      <c r="L116" s="3" t="n">
        <f aca="false">IF(D116="","",IF(D116-C116&lt;0,"",D116-C116))</f>
        <v>19</v>
      </c>
      <c r="M116" s="4" t="n">
        <f aca="false">G116*I116</f>
        <v>165110.34</v>
      </c>
      <c r="N116" s="5" t="str">
        <f aca="false">IF(J116="","",J116/G116*100)</f>
        <v/>
      </c>
      <c r="O116" s="5" t="n">
        <f aca="false">(H116-I116)/H116*100</f>
        <v>3.13291139240506</v>
      </c>
      <c r="P116" s="3" t="n">
        <f aca="false">IF(OR(F116="Delivered",F116="Partially Delivered"),1,0)</f>
        <v>1</v>
      </c>
      <c r="Q116" s="3" t="n">
        <f aca="false">IF(F116="Cancelled",1,0)</f>
        <v>0</v>
      </c>
      <c r="R116" s="3" t="n">
        <f aca="false">IF(K116="Yes",1,0)</f>
        <v>1</v>
      </c>
    </row>
    <row r="117" customFormat="false" ht="15" hidden="false" customHeight="false" outlineLevel="0" collapsed="false">
      <c r="A117" s="0" t="s">
        <v>330</v>
      </c>
      <c r="B117" s="0" t="s">
        <v>19</v>
      </c>
      <c r="C117" s="2" t="s">
        <v>331</v>
      </c>
      <c r="D117" s="2" t="s">
        <v>332</v>
      </c>
      <c r="E117" s="3" t="s">
        <v>34</v>
      </c>
      <c r="F117" s="3" t="s">
        <v>29</v>
      </c>
      <c r="G117" s="0" t="n">
        <v>769</v>
      </c>
      <c r="H117" s="4" t="n">
        <v>91.86</v>
      </c>
      <c r="I117" s="4" t="n">
        <v>86.55</v>
      </c>
      <c r="J117" s="0" t="n">
        <v>17</v>
      </c>
      <c r="K117" s="3" t="s">
        <v>24</v>
      </c>
      <c r="L117" s="3" t="n">
        <f aca="false">IF(D117="","",IF(D117-C117&lt;0,"",D117-C117))</f>
        <v>16</v>
      </c>
      <c r="M117" s="4" t="n">
        <f aca="false">G117*I117</f>
        <v>66556.95</v>
      </c>
      <c r="N117" s="5" t="n">
        <f aca="false">IF(J117="","",J117/G117*100)</f>
        <v>2.21066319895969</v>
      </c>
      <c r="O117" s="5" t="n">
        <f aca="false">(H117-I117)/H117*100</f>
        <v>5.7805355976486</v>
      </c>
      <c r="P117" s="3" t="n">
        <f aca="false">IF(OR(F117="Delivered",F117="Partially Delivered"),1,0)</f>
        <v>1</v>
      </c>
      <c r="Q117" s="3" t="n">
        <f aca="false">IF(F117="Cancelled",1,0)</f>
        <v>0</v>
      </c>
      <c r="R117" s="3" t="n">
        <f aca="false">IF(K117="Yes",1,0)</f>
        <v>1</v>
      </c>
    </row>
    <row r="118" customFormat="false" ht="15" hidden="false" customHeight="false" outlineLevel="0" collapsed="false">
      <c r="A118" s="0" t="s">
        <v>333</v>
      </c>
      <c r="B118" s="0" t="s">
        <v>19</v>
      </c>
      <c r="C118" s="2" t="s">
        <v>334</v>
      </c>
      <c r="D118" s="2"/>
      <c r="E118" s="3" t="s">
        <v>39</v>
      </c>
      <c r="F118" s="3" t="s">
        <v>29</v>
      </c>
      <c r="G118" s="0" t="n">
        <v>1822</v>
      </c>
      <c r="H118" s="4" t="n">
        <v>53.23</v>
      </c>
      <c r="I118" s="4" t="n">
        <v>47.49</v>
      </c>
      <c r="J118" s="0" t="n">
        <v>39</v>
      </c>
      <c r="K118" s="3" t="s">
        <v>24</v>
      </c>
      <c r="L118" s="0" t="str">
        <f aca="false">IF(D118="","",IF(D118-C118&lt;0,"",D118-C118))</f>
        <v/>
      </c>
      <c r="M118" s="4" t="n">
        <f aca="false">G118*I118</f>
        <v>86526.78</v>
      </c>
      <c r="N118" s="5" t="n">
        <f aca="false">IF(J118="","",J118/G118*100)</f>
        <v>2.14050493962678</v>
      </c>
      <c r="O118" s="5" t="n">
        <f aca="false">(H118-I118)/H118*100</f>
        <v>10.7833928235957</v>
      </c>
      <c r="P118" s="3" t="n">
        <f aca="false">IF(OR(F118="Delivered",F118="Partially Delivered"),1,0)</f>
        <v>1</v>
      </c>
      <c r="Q118" s="3" t="n">
        <f aca="false">IF(F118="Cancelled",1,0)</f>
        <v>0</v>
      </c>
      <c r="R118" s="3" t="n">
        <f aca="false">IF(K118="Yes",1,0)</f>
        <v>1</v>
      </c>
    </row>
    <row r="119" customFormat="false" ht="15" hidden="false" customHeight="false" outlineLevel="0" collapsed="false">
      <c r="A119" s="0" t="s">
        <v>335</v>
      </c>
      <c r="B119" s="0" t="s">
        <v>26</v>
      </c>
      <c r="C119" s="2" t="s">
        <v>336</v>
      </c>
      <c r="D119" s="2" t="s">
        <v>337</v>
      </c>
      <c r="E119" s="3" t="s">
        <v>39</v>
      </c>
      <c r="F119" s="3" t="s">
        <v>29</v>
      </c>
      <c r="G119" s="0" t="n">
        <v>387</v>
      </c>
      <c r="H119" s="4" t="n">
        <v>49.23</v>
      </c>
      <c r="I119" s="4" t="n">
        <v>45.41</v>
      </c>
      <c r="J119" s="0" t="n">
        <v>61</v>
      </c>
      <c r="K119" s="3" t="s">
        <v>24</v>
      </c>
      <c r="L119" s="3" t="n">
        <f aca="false">IF(D119="","",IF(D119-C119&lt;0,"",D119-C119))</f>
        <v>14</v>
      </c>
      <c r="M119" s="4" t="n">
        <f aca="false">G119*I119</f>
        <v>17573.67</v>
      </c>
      <c r="N119" s="5" t="n">
        <f aca="false">IF(J119="","",J119/G119*100)</f>
        <v>15.7622739018088</v>
      </c>
      <c r="O119" s="5" t="n">
        <f aca="false">(H119-I119)/H119*100</f>
        <v>7.75949624212878</v>
      </c>
      <c r="P119" s="3" t="n">
        <f aca="false">IF(OR(F119="Delivered",F119="Partially Delivered"),1,0)</f>
        <v>1</v>
      </c>
      <c r="Q119" s="3" t="n">
        <f aca="false">IF(F119="Cancelled",1,0)</f>
        <v>0</v>
      </c>
      <c r="R119" s="3" t="n">
        <f aca="false">IF(K119="Yes",1,0)</f>
        <v>1</v>
      </c>
    </row>
    <row r="120" customFormat="false" ht="15" hidden="false" customHeight="false" outlineLevel="0" collapsed="false">
      <c r="A120" s="0" t="s">
        <v>338</v>
      </c>
      <c r="B120" s="0" t="s">
        <v>46</v>
      </c>
      <c r="C120" s="2" t="s">
        <v>50</v>
      </c>
      <c r="D120" s="2" t="s">
        <v>334</v>
      </c>
      <c r="E120" s="3" t="s">
        <v>34</v>
      </c>
      <c r="F120" s="3" t="s">
        <v>29</v>
      </c>
      <c r="G120" s="0" t="n">
        <v>928</v>
      </c>
      <c r="H120" s="4" t="n">
        <v>35.3</v>
      </c>
      <c r="I120" s="4" t="n">
        <v>32.52</v>
      </c>
      <c r="J120" s="0" t="n">
        <v>26</v>
      </c>
      <c r="K120" s="3" t="s">
        <v>24</v>
      </c>
      <c r="L120" s="3" t="n">
        <f aca="false">IF(D120="","",IF(D120-C120&lt;0,"",D120-C120))</f>
        <v>4</v>
      </c>
      <c r="M120" s="4" t="n">
        <f aca="false">G120*I120</f>
        <v>30178.56</v>
      </c>
      <c r="N120" s="5" t="n">
        <f aca="false">IF(J120="","",J120/G120*100)</f>
        <v>2.80172413793103</v>
      </c>
      <c r="O120" s="5" t="n">
        <f aca="false">(H120-I120)/H120*100</f>
        <v>7.87535410764871</v>
      </c>
      <c r="P120" s="3" t="n">
        <f aca="false">IF(OR(F120="Delivered",F120="Partially Delivered"),1,0)</f>
        <v>1</v>
      </c>
      <c r="Q120" s="3" t="n">
        <f aca="false">IF(F120="Cancelled",1,0)</f>
        <v>0</v>
      </c>
      <c r="R120" s="3" t="n">
        <f aca="false">IF(K120="Yes",1,0)</f>
        <v>1</v>
      </c>
    </row>
    <row r="121" customFormat="false" ht="15" hidden="false" customHeight="false" outlineLevel="0" collapsed="false">
      <c r="A121" s="0" t="s">
        <v>339</v>
      </c>
      <c r="B121" s="0" t="s">
        <v>19</v>
      </c>
      <c r="C121" s="2" t="s">
        <v>340</v>
      </c>
      <c r="D121" s="2" t="s">
        <v>341</v>
      </c>
      <c r="E121" s="3" t="s">
        <v>39</v>
      </c>
      <c r="F121" s="3" t="s">
        <v>58</v>
      </c>
      <c r="G121" s="0" t="n">
        <v>1126</v>
      </c>
      <c r="H121" s="4" t="n">
        <v>15.68</v>
      </c>
      <c r="I121" s="4" t="n">
        <v>14.97</v>
      </c>
      <c r="J121" s="0" t="n">
        <v>27</v>
      </c>
      <c r="K121" s="3" t="s">
        <v>24</v>
      </c>
      <c r="L121" s="3" t="n">
        <f aca="false">IF(D121="","",IF(D121-C121&lt;0,"",D121-C121))</f>
        <v>11</v>
      </c>
      <c r="M121" s="4" t="n">
        <f aca="false">G121*I121</f>
        <v>16856.22</v>
      </c>
      <c r="N121" s="5" t="n">
        <f aca="false">IF(J121="","",J121/G121*100)</f>
        <v>2.39786856127886</v>
      </c>
      <c r="O121" s="5" t="n">
        <f aca="false">(H121-I121)/H121*100</f>
        <v>4.52806122448979</v>
      </c>
      <c r="P121" s="3" t="n">
        <f aca="false">IF(OR(F121="Delivered",F121="Partially Delivered"),1,0)</f>
        <v>1</v>
      </c>
      <c r="Q121" s="3" t="n">
        <f aca="false">IF(F121="Cancelled",1,0)</f>
        <v>0</v>
      </c>
      <c r="R121" s="3" t="n">
        <f aca="false">IF(K121="Yes",1,0)</f>
        <v>1</v>
      </c>
    </row>
    <row r="122" customFormat="false" ht="15" hidden="false" customHeight="false" outlineLevel="0" collapsed="false">
      <c r="A122" s="0" t="s">
        <v>342</v>
      </c>
      <c r="B122" s="0" t="s">
        <v>36</v>
      </c>
      <c r="C122" s="2" t="s">
        <v>96</v>
      </c>
      <c r="D122" s="2" t="s">
        <v>343</v>
      </c>
      <c r="E122" s="3" t="s">
        <v>43</v>
      </c>
      <c r="F122" s="3" t="s">
        <v>23</v>
      </c>
      <c r="G122" s="0" t="n">
        <v>841</v>
      </c>
      <c r="H122" s="4" t="n">
        <v>95.73</v>
      </c>
      <c r="I122" s="4" t="n">
        <v>85.33</v>
      </c>
      <c r="J122" s="0" t="n">
        <v>81</v>
      </c>
      <c r="K122" s="3" t="s">
        <v>24</v>
      </c>
      <c r="L122" s="3" t="n">
        <f aca="false">IF(D122="","",IF(D122-C122&lt;0,"",D122-C122))</f>
        <v>16</v>
      </c>
      <c r="M122" s="4" t="n">
        <f aca="false">G122*I122</f>
        <v>71762.53</v>
      </c>
      <c r="N122" s="5" t="n">
        <f aca="false">IF(J122="","",J122/G122*100)</f>
        <v>9.63139120095125</v>
      </c>
      <c r="O122" s="5" t="n">
        <f aca="false">(H122-I122)/H122*100</f>
        <v>10.863888018385</v>
      </c>
      <c r="P122" s="3" t="n">
        <f aca="false">IF(OR(F122="Delivered",F122="Partially Delivered"),1,0)</f>
        <v>0</v>
      </c>
      <c r="Q122" s="3" t="n">
        <f aca="false">IF(F122="Cancelled",1,0)</f>
        <v>1</v>
      </c>
      <c r="R122" s="3" t="n">
        <f aca="false">IF(K122="Yes",1,0)</f>
        <v>1</v>
      </c>
    </row>
    <row r="123" customFormat="false" ht="15" hidden="false" customHeight="false" outlineLevel="0" collapsed="false">
      <c r="A123" s="0" t="s">
        <v>344</v>
      </c>
      <c r="B123" s="0" t="s">
        <v>36</v>
      </c>
      <c r="C123" s="2" t="s">
        <v>345</v>
      </c>
      <c r="D123" s="2" t="s">
        <v>346</v>
      </c>
      <c r="E123" s="3" t="s">
        <v>71</v>
      </c>
      <c r="F123" s="3" t="s">
        <v>29</v>
      </c>
      <c r="G123" s="0" t="n">
        <v>1995</v>
      </c>
      <c r="H123" s="4" t="n">
        <v>90.65</v>
      </c>
      <c r="I123" s="4" t="n">
        <v>77.75</v>
      </c>
      <c r="J123" s="0" t="n">
        <v>206</v>
      </c>
      <c r="K123" s="3" t="s">
        <v>24</v>
      </c>
      <c r="L123" s="3" t="n">
        <f aca="false">IF(D123="","",IF(D123-C123&lt;0,"",D123-C123))</f>
        <v>13</v>
      </c>
      <c r="M123" s="4" t="n">
        <f aca="false">G123*I123</f>
        <v>155111.25</v>
      </c>
      <c r="N123" s="5" t="n">
        <f aca="false">IF(J123="","",J123/G123*100)</f>
        <v>10.3258145363409</v>
      </c>
      <c r="O123" s="5" t="n">
        <f aca="false">(H123-I123)/H123*100</f>
        <v>14.2305570877</v>
      </c>
      <c r="P123" s="3" t="n">
        <f aca="false">IF(OR(F123="Delivered",F123="Partially Delivered"),1,0)</f>
        <v>1</v>
      </c>
      <c r="Q123" s="3" t="n">
        <f aca="false">IF(F123="Cancelled",1,0)</f>
        <v>0</v>
      </c>
      <c r="R123" s="3" t="n">
        <f aca="false">IF(K123="Yes",1,0)</f>
        <v>1</v>
      </c>
    </row>
    <row r="124" customFormat="false" ht="15" hidden="false" customHeight="false" outlineLevel="0" collapsed="false">
      <c r="A124" s="0" t="s">
        <v>347</v>
      </c>
      <c r="B124" s="0" t="s">
        <v>19</v>
      </c>
      <c r="C124" s="2" t="s">
        <v>348</v>
      </c>
      <c r="D124" s="2" t="s">
        <v>349</v>
      </c>
      <c r="E124" s="3" t="s">
        <v>43</v>
      </c>
      <c r="F124" s="3" t="s">
        <v>29</v>
      </c>
      <c r="G124" s="0" t="n">
        <v>266</v>
      </c>
      <c r="H124" s="4" t="n">
        <v>103.97</v>
      </c>
      <c r="I124" s="4" t="n">
        <v>101.44</v>
      </c>
      <c r="J124" s="0" t="n">
        <v>6</v>
      </c>
      <c r="K124" s="3" t="s">
        <v>24</v>
      </c>
      <c r="L124" s="3" t="n">
        <f aca="false">IF(D124="","",IF(D124-C124&lt;0,"",D124-C124))</f>
        <v>18</v>
      </c>
      <c r="M124" s="4" t="n">
        <f aca="false">G124*I124</f>
        <v>26983.04</v>
      </c>
      <c r="N124" s="5" t="n">
        <f aca="false">IF(J124="","",J124/G124*100)</f>
        <v>2.25563909774436</v>
      </c>
      <c r="O124" s="5" t="n">
        <f aca="false">(H124-I124)/H124*100</f>
        <v>2.43339424834087</v>
      </c>
      <c r="P124" s="3" t="n">
        <f aca="false">IF(OR(F124="Delivered",F124="Partially Delivered"),1,0)</f>
        <v>1</v>
      </c>
      <c r="Q124" s="3" t="n">
        <f aca="false">IF(F124="Cancelled",1,0)</f>
        <v>0</v>
      </c>
      <c r="R124" s="3" t="n">
        <f aca="false">IF(K124="Yes",1,0)</f>
        <v>1</v>
      </c>
    </row>
    <row r="125" customFormat="false" ht="15" hidden="false" customHeight="false" outlineLevel="0" collapsed="false">
      <c r="A125" s="0" t="s">
        <v>350</v>
      </c>
      <c r="B125" s="0" t="s">
        <v>19</v>
      </c>
      <c r="C125" s="2" t="s">
        <v>351</v>
      </c>
      <c r="D125" s="2" t="s">
        <v>352</v>
      </c>
      <c r="E125" s="3" t="s">
        <v>43</v>
      </c>
      <c r="F125" s="3" t="s">
        <v>23</v>
      </c>
      <c r="G125" s="0" t="n">
        <v>813</v>
      </c>
      <c r="H125" s="4" t="n">
        <v>109.17</v>
      </c>
      <c r="I125" s="4" t="n">
        <v>107.39</v>
      </c>
      <c r="J125" s="0" t="n">
        <v>14</v>
      </c>
      <c r="K125" s="3" t="s">
        <v>24</v>
      </c>
      <c r="L125" s="3" t="n">
        <f aca="false">IF(D125="","",IF(D125-C125&lt;0,"",D125-C125))</f>
        <v>3</v>
      </c>
      <c r="M125" s="4" t="n">
        <f aca="false">G125*I125</f>
        <v>87308.07</v>
      </c>
      <c r="N125" s="5" t="n">
        <f aca="false">IF(J125="","",J125/G125*100)</f>
        <v>1.7220172201722</v>
      </c>
      <c r="O125" s="5" t="n">
        <f aca="false">(H125-I125)/H125*100</f>
        <v>1.63048456535678</v>
      </c>
      <c r="P125" s="3" t="n">
        <f aca="false">IF(OR(F125="Delivered",F125="Partially Delivered"),1,0)</f>
        <v>0</v>
      </c>
      <c r="Q125" s="3" t="n">
        <f aca="false">IF(F125="Cancelled",1,0)</f>
        <v>1</v>
      </c>
      <c r="R125" s="3" t="n">
        <f aca="false">IF(K125="Yes",1,0)</f>
        <v>1</v>
      </c>
    </row>
    <row r="126" customFormat="false" ht="15" hidden="false" customHeight="false" outlineLevel="0" collapsed="false">
      <c r="A126" s="0" t="s">
        <v>353</v>
      </c>
      <c r="B126" s="0" t="s">
        <v>46</v>
      </c>
      <c r="C126" s="2" t="s">
        <v>354</v>
      </c>
      <c r="D126" s="2" t="s">
        <v>70</v>
      </c>
      <c r="E126" s="3" t="s">
        <v>71</v>
      </c>
      <c r="F126" s="3" t="s">
        <v>29</v>
      </c>
      <c r="G126" s="0" t="n">
        <v>237</v>
      </c>
      <c r="H126" s="4" t="n">
        <v>64.19</v>
      </c>
      <c r="I126" s="4" t="n">
        <v>59.01</v>
      </c>
      <c r="J126" s="0" t="n">
        <v>7</v>
      </c>
      <c r="K126" s="3" t="s">
        <v>24</v>
      </c>
      <c r="L126" s="3" t="n">
        <f aca="false">IF(D126="","",IF(D126-C126&lt;0,"",D126-C126))</f>
        <v>11</v>
      </c>
      <c r="M126" s="4" t="n">
        <f aca="false">G126*I126</f>
        <v>13985.37</v>
      </c>
      <c r="N126" s="5" t="n">
        <f aca="false">IF(J126="","",J126/G126*100)</f>
        <v>2.9535864978903</v>
      </c>
      <c r="O126" s="5" t="n">
        <f aca="false">(H126-I126)/H126*100</f>
        <v>8.06979280261723</v>
      </c>
      <c r="P126" s="3" t="n">
        <f aca="false">IF(OR(F126="Delivered",F126="Partially Delivered"),1,0)</f>
        <v>1</v>
      </c>
      <c r="Q126" s="3" t="n">
        <f aca="false">IF(F126="Cancelled",1,0)</f>
        <v>0</v>
      </c>
      <c r="R126" s="3" t="n">
        <f aca="false">IF(K126="Yes",1,0)</f>
        <v>1</v>
      </c>
    </row>
    <row r="127" customFormat="false" ht="15" hidden="false" customHeight="false" outlineLevel="0" collapsed="false">
      <c r="A127" s="0" t="s">
        <v>355</v>
      </c>
      <c r="B127" s="0" t="s">
        <v>19</v>
      </c>
      <c r="C127" s="2" t="s">
        <v>356</v>
      </c>
      <c r="D127" s="2" t="s">
        <v>357</v>
      </c>
      <c r="E127" s="3" t="s">
        <v>22</v>
      </c>
      <c r="F127" s="3" t="s">
        <v>23</v>
      </c>
      <c r="G127" s="0" t="n">
        <v>429</v>
      </c>
      <c r="H127" s="4" t="n">
        <v>86.73</v>
      </c>
      <c r="I127" s="4" t="n">
        <v>75.09</v>
      </c>
      <c r="J127" s="0" t="n">
        <v>9</v>
      </c>
      <c r="K127" s="3" t="s">
        <v>24</v>
      </c>
      <c r="L127" s="3" t="n">
        <f aca="false">IF(D127="","",IF(D127-C127&lt;0,"",D127-C127))</f>
        <v>13</v>
      </c>
      <c r="M127" s="4" t="n">
        <f aca="false">G127*I127</f>
        <v>32213.61</v>
      </c>
      <c r="N127" s="5" t="n">
        <f aca="false">IF(J127="","",J127/G127*100)</f>
        <v>2.0979020979021</v>
      </c>
      <c r="O127" s="5" t="n">
        <f aca="false">(H127-I127)/H127*100</f>
        <v>13.420961604981</v>
      </c>
      <c r="P127" s="3" t="n">
        <f aca="false">IF(OR(F127="Delivered",F127="Partially Delivered"),1,0)</f>
        <v>0</v>
      </c>
      <c r="Q127" s="3" t="n">
        <f aca="false">IF(F127="Cancelled",1,0)</f>
        <v>1</v>
      </c>
      <c r="R127" s="3" t="n">
        <f aca="false">IF(K127="Yes",1,0)</f>
        <v>1</v>
      </c>
    </row>
    <row r="128" customFormat="false" ht="15" hidden="false" customHeight="false" outlineLevel="0" collapsed="false">
      <c r="A128" s="0" t="s">
        <v>358</v>
      </c>
      <c r="B128" s="0" t="s">
        <v>26</v>
      </c>
      <c r="C128" s="2" t="s">
        <v>359</v>
      </c>
      <c r="D128" s="2" t="s">
        <v>360</v>
      </c>
      <c r="E128" s="3" t="s">
        <v>39</v>
      </c>
      <c r="F128" s="3" t="s">
        <v>29</v>
      </c>
      <c r="G128" s="0" t="n">
        <v>542</v>
      </c>
      <c r="H128" s="4" t="n">
        <v>101.21</v>
      </c>
      <c r="I128" s="4" t="n">
        <v>93.11</v>
      </c>
      <c r="J128" s="0" t="n">
        <v>78</v>
      </c>
      <c r="K128" s="3" t="s">
        <v>44</v>
      </c>
      <c r="L128" s="3" t="n">
        <f aca="false">IF(D128="","",IF(D128-C128&lt;0,"",D128-C128))</f>
        <v>1</v>
      </c>
      <c r="M128" s="4" t="n">
        <f aca="false">G128*I128</f>
        <v>50465.62</v>
      </c>
      <c r="N128" s="5" t="n">
        <f aca="false">IF(J128="","",J128/G128*100)</f>
        <v>14.3911439114391</v>
      </c>
      <c r="O128" s="5" t="n">
        <f aca="false">(H128-I128)/H128*100</f>
        <v>8.00316174291078</v>
      </c>
      <c r="P128" s="3" t="n">
        <f aca="false">IF(OR(F128="Delivered",F128="Partially Delivered"),1,0)</f>
        <v>1</v>
      </c>
      <c r="Q128" s="3" t="n">
        <f aca="false">IF(F128="Cancelled",1,0)</f>
        <v>0</v>
      </c>
      <c r="R128" s="3" t="n">
        <f aca="false">IF(K128="Yes",1,0)</f>
        <v>0</v>
      </c>
    </row>
    <row r="129" customFormat="false" ht="15" hidden="false" customHeight="false" outlineLevel="0" collapsed="false">
      <c r="A129" s="0" t="s">
        <v>361</v>
      </c>
      <c r="B129" s="0" t="s">
        <v>46</v>
      </c>
      <c r="C129" s="2" t="s">
        <v>192</v>
      </c>
      <c r="D129" s="2" t="s">
        <v>277</v>
      </c>
      <c r="E129" s="3" t="s">
        <v>71</v>
      </c>
      <c r="F129" s="3" t="s">
        <v>29</v>
      </c>
      <c r="G129" s="0" t="n">
        <v>1114</v>
      </c>
      <c r="H129" s="4" t="n">
        <v>91.66</v>
      </c>
      <c r="I129" s="4" t="n">
        <v>85.53</v>
      </c>
      <c r="J129" s="0" t="n">
        <v>35</v>
      </c>
      <c r="K129" s="3" t="s">
        <v>24</v>
      </c>
      <c r="L129" s="3" t="n">
        <f aca="false">IF(D129="","",IF(D129-C129&lt;0,"",D129-C129))</f>
        <v>18</v>
      </c>
      <c r="M129" s="4" t="n">
        <f aca="false">G129*I129</f>
        <v>95280.42</v>
      </c>
      <c r="N129" s="5" t="n">
        <f aca="false">IF(J129="","",J129/G129*100)</f>
        <v>3.14183123877917</v>
      </c>
      <c r="O129" s="5" t="n">
        <f aca="false">(H129-I129)/H129*100</f>
        <v>6.68775910975343</v>
      </c>
      <c r="P129" s="3" t="n">
        <f aca="false">IF(OR(F129="Delivered",F129="Partially Delivered"),1,0)</f>
        <v>1</v>
      </c>
      <c r="Q129" s="3" t="n">
        <f aca="false">IF(F129="Cancelled",1,0)</f>
        <v>0</v>
      </c>
      <c r="R129" s="3" t="n">
        <f aca="false">IF(K129="Yes",1,0)</f>
        <v>1</v>
      </c>
    </row>
    <row r="130" customFormat="false" ht="15" hidden="false" customHeight="false" outlineLevel="0" collapsed="false">
      <c r="A130" s="0" t="s">
        <v>362</v>
      </c>
      <c r="B130" s="0" t="s">
        <v>19</v>
      </c>
      <c r="C130" s="2" t="s">
        <v>288</v>
      </c>
      <c r="D130" s="2" t="s">
        <v>321</v>
      </c>
      <c r="E130" s="3" t="s">
        <v>34</v>
      </c>
      <c r="F130" s="3" t="s">
        <v>29</v>
      </c>
      <c r="G130" s="0" t="n">
        <v>1230</v>
      </c>
      <c r="H130" s="4" t="n">
        <v>33.39</v>
      </c>
      <c r="I130" s="4" t="n">
        <v>30.85</v>
      </c>
      <c r="J130" s="0" t="n">
        <v>26</v>
      </c>
      <c r="K130" s="3" t="s">
        <v>24</v>
      </c>
      <c r="L130" s="3" t="n">
        <f aca="false">IF(D130="","",IF(D130-C130&lt;0,"",D130-C130))</f>
        <v>2</v>
      </c>
      <c r="M130" s="4" t="n">
        <f aca="false">G130*I130</f>
        <v>37945.5</v>
      </c>
      <c r="N130" s="5" t="n">
        <f aca="false">IF(J130="","",J130/G130*100)</f>
        <v>2.11382113821138</v>
      </c>
      <c r="O130" s="5" t="n">
        <f aca="false">(H130-I130)/H130*100</f>
        <v>7.60706798442647</v>
      </c>
      <c r="P130" s="3" t="n">
        <f aca="false">IF(OR(F130="Delivered",F130="Partially Delivered"),1,0)</f>
        <v>1</v>
      </c>
      <c r="Q130" s="3" t="n">
        <f aca="false">IF(F130="Cancelled",1,0)</f>
        <v>0</v>
      </c>
      <c r="R130" s="3" t="n">
        <f aca="false">IF(K130="Yes",1,0)</f>
        <v>1</v>
      </c>
    </row>
    <row r="131" customFormat="false" ht="15" hidden="false" customHeight="false" outlineLevel="0" collapsed="false">
      <c r="A131" s="0" t="s">
        <v>363</v>
      </c>
      <c r="B131" s="0" t="s">
        <v>36</v>
      </c>
      <c r="C131" s="2" t="s">
        <v>364</v>
      </c>
      <c r="D131" s="2" t="s">
        <v>51</v>
      </c>
      <c r="E131" s="3" t="s">
        <v>34</v>
      </c>
      <c r="F131" s="3" t="s">
        <v>29</v>
      </c>
      <c r="G131" s="0" t="n">
        <v>64</v>
      </c>
      <c r="H131" s="4" t="n">
        <v>51.56</v>
      </c>
      <c r="I131" s="4" t="n">
        <v>50.88</v>
      </c>
      <c r="J131" s="0" t="n">
        <v>5</v>
      </c>
      <c r="K131" s="3" t="s">
        <v>24</v>
      </c>
      <c r="L131" s="3" t="n">
        <f aca="false">IF(D131="","",IF(D131-C131&lt;0,"",D131-C131))</f>
        <v>12</v>
      </c>
      <c r="M131" s="4" t="n">
        <f aca="false">G131*I131</f>
        <v>3256.32</v>
      </c>
      <c r="N131" s="5" t="n">
        <f aca="false">IF(J131="","",J131/G131*100)</f>
        <v>7.8125</v>
      </c>
      <c r="O131" s="5" t="n">
        <f aca="false">(H131-I131)/H131*100</f>
        <v>1.3188518231187</v>
      </c>
      <c r="P131" s="3" t="n">
        <f aca="false">IF(OR(F131="Delivered",F131="Partially Delivered"),1,0)</f>
        <v>1</v>
      </c>
      <c r="Q131" s="3" t="n">
        <f aca="false">IF(F131="Cancelled",1,0)</f>
        <v>0</v>
      </c>
      <c r="R131" s="3" t="n">
        <f aca="false">IF(K131="Yes",1,0)</f>
        <v>1</v>
      </c>
    </row>
    <row r="132" customFormat="false" ht="15" hidden="false" customHeight="false" outlineLevel="0" collapsed="false">
      <c r="A132" s="0" t="s">
        <v>365</v>
      </c>
      <c r="B132" s="0" t="s">
        <v>19</v>
      </c>
      <c r="C132" s="2" t="s">
        <v>366</v>
      </c>
      <c r="D132" s="2" t="s">
        <v>367</v>
      </c>
      <c r="E132" s="3" t="s">
        <v>34</v>
      </c>
      <c r="F132" s="3" t="s">
        <v>29</v>
      </c>
      <c r="G132" s="0" t="n">
        <v>1886</v>
      </c>
      <c r="H132" s="4" t="n">
        <v>23.46</v>
      </c>
      <c r="I132" s="4" t="n">
        <v>23.18</v>
      </c>
      <c r="K132" s="3" t="s">
        <v>24</v>
      </c>
      <c r="L132" s="3" t="n">
        <f aca="false">IF(D132="","",IF(D132-C132&lt;0,"",D132-C132))</f>
        <v>16</v>
      </c>
      <c r="M132" s="4" t="n">
        <f aca="false">G132*I132</f>
        <v>43717.48</v>
      </c>
      <c r="N132" s="5" t="str">
        <f aca="false">IF(J132="","",J132/G132*100)</f>
        <v/>
      </c>
      <c r="O132" s="5" t="n">
        <f aca="false">(H132-I132)/H132*100</f>
        <v>1.19352088661552</v>
      </c>
      <c r="P132" s="3" t="n">
        <f aca="false">IF(OR(F132="Delivered",F132="Partially Delivered"),1,0)</f>
        <v>1</v>
      </c>
      <c r="Q132" s="3" t="n">
        <f aca="false">IF(F132="Cancelled",1,0)</f>
        <v>0</v>
      </c>
      <c r="R132" s="3" t="n">
        <f aca="false">IF(K132="Yes",1,0)</f>
        <v>1</v>
      </c>
    </row>
    <row r="133" customFormat="false" ht="15" hidden="false" customHeight="false" outlineLevel="0" collapsed="false">
      <c r="A133" s="0" t="s">
        <v>368</v>
      </c>
      <c r="B133" s="0" t="s">
        <v>26</v>
      </c>
      <c r="C133" s="2" t="s">
        <v>369</v>
      </c>
      <c r="D133" s="2" t="s">
        <v>370</v>
      </c>
      <c r="E133" s="3" t="s">
        <v>22</v>
      </c>
      <c r="F133" s="3" t="s">
        <v>29</v>
      </c>
      <c r="G133" s="0" t="n">
        <v>114</v>
      </c>
      <c r="H133" s="4" t="n">
        <v>103.53</v>
      </c>
      <c r="I133" s="4" t="n">
        <v>101.54</v>
      </c>
      <c r="J133" s="0" t="n">
        <v>14</v>
      </c>
      <c r="K133" s="3" t="s">
        <v>24</v>
      </c>
      <c r="L133" s="3" t="n">
        <f aca="false">IF(D133="","",IF(D133-C133&lt;0,"",D133-C133))</f>
        <v>2</v>
      </c>
      <c r="M133" s="4" t="n">
        <f aca="false">G133*I133</f>
        <v>11575.56</v>
      </c>
      <c r="N133" s="5" t="n">
        <f aca="false">IF(J133="","",J133/G133*100)</f>
        <v>12.280701754386</v>
      </c>
      <c r="O133" s="5" t="n">
        <f aca="false">(H133-I133)/H133*100</f>
        <v>1.92214816961267</v>
      </c>
      <c r="P133" s="3" t="n">
        <f aca="false">IF(OR(F133="Delivered",F133="Partially Delivered"),1,0)</f>
        <v>1</v>
      </c>
      <c r="Q133" s="3" t="n">
        <f aca="false">IF(F133="Cancelled",1,0)</f>
        <v>0</v>
      </c>
      <c r="R133" s="3" t="n">
        <f aca="false">IF(K133="Yes",1,0)</f>
        <v>1</v>
      </c>
    </row>
    <row r="134" customFormat="false" ht="15" hidden="false" customHeight="false" outlineLevel="0" collapsed="false">
      <c r="A134" s="0" t="s">
        <v>371</v>
      </c>
      <c r="B134" s="0" t="s">
        <v>26</v>
      </c>
      <c r="C134" s="2" t="s">
        <v>372</v>
      </c>
      <c r="D134" s="2" t="s">
        <v>222</v>
      </c>
      <c r="E134" s="3" t="s">
        <v>71</v>
      </c>
      <c r="F134" s="3" t="s">
        <v>23</v>
      </c>
      <c r="G134" s="0" t="n">
        <v>1930</v>
      </c>
      <c r="H134" s="4" t="n">
        <v>65.52</v>
      </c>
      <c r="I134" s="4" t="n">
        <v>56.9</v>
      </c>
      <c r="J134" s="0" t="n">
        <v>282</v>
      </c>
      <c r="K134" s="3" t="s">
        <v>24</v>
      </c>
      <c r="L134" s="3" t="n">
        <f aca="false">IF(D134="","",IF(D134-C134&lt;0,"",D134-C134))</f>
        <v>18</v>
      </c>
      <c r="M134" s="4" t="n">
        <f aca="false">G134*I134</f>
        <v>109817</v>
      </c>
      <c r="N134" s="5" t="n">
        <f aca="false">IF(J134="","",J134/G134*100)</f>
        <v>14.6113989637306</v>
      </c>
      <c r="O134" s="5" t="n">
        <f aca="false">(H134-I134)/H134*100</f>
        <v>13.1562881562882</v>
      </c>
      <c r="P134" s="3" t="n">
        <f aca="false">IF(OR(F134="Delivered",F134="Partially Delivered"),1,0)</f>
        <v>0</v>
      </c>
      <c r="Q134" s="3" t="n">
        <f aca="false">IF(F134="Cancelled",1,0)</f>
        <v>1</v>
      </c>
      <c r="R134" s="3" t="n">
        <f aca="false">IF(K134="Yes",1,0)</f>
        <v>1</v>
      </c>
    </row>
    <row r="135" customFormat="false" ht="15" hidden="false" customHeight="false" outlineLevel="0" collapsed="false">
      <c r="A135" s="0" t="s">
        <v>373</v>
      </c>
      <c r="B135" s="0" t="s">
        <v>36</v>
      </c>
      <c r="C135" s="2" t="s">
        <v>76</v>
      </c>
      <c r="D135" s="2" t="s">
        <v>374</v>
      </c>
      <c r="E135" s="3" t="s">
        <v>22</v>
      </c>
      <c r="F135" s="3" t="s">
        <v>62</v>
      </c>
      <c r="G135" s="0" t="n">
        <v>1912</v>
      </c>
      <c r="H135" s="4" t="n">
        <v>30.73</v>
      </c>
      <c r="I135" s="4" t="n">
        <v>29.82</v>
      </c>
      <c r="J135" s="0" t="n">
        <v>191</v>
      </c>
      <c r="K135" s="3" t="s">
        <v>24</v>
      </c>
      <c r="L135" s="3" t="n">
        <f aca="false">IF(D135="","",IF(D135-C135&lt;0,"",D135-C135))</f>
        <v>10</v>
      </c>
      <c r="M135" s="4" t="n">
        <f aca="false">G135*I135</f>
        <v>57015.84</v>
      </c>
      <c r="N135" s="5" t="n">
        <f aca="false">IF(J135="","",J135/G135*100)</f>
        <v>9.98953974895398</v>
      </c>
      <c r="O135" s="5" t="n">
        <f aca="false">(H135-I135)/H135*100</f>
        <v>2.96127562642369</v>
      </c>
      <c r="P135" s="3" t="n">
        <f aca="false">IF(OR(F135="Delivered",F135="Partially Delivered"),1,0)</f>
        <v>0</v>
      </c>
      <c r="Q135" s="3" t="n">
        <f aca="false">IF(F135="Cancelled",1,0)</f>
        <v>0</v>
      </c>
      <c r="R135" s="3" t="n">
        <f aca="false">IF(K135="Yes",1,0)</f>
        <v>1</v>
      </c>
    </row>
    <row r="136" customFormat="false" ht="15" hidden="false" customHeight="false" outlineLevel="0" collapsed="false">
      <c r="A136" s="0" t="s">
        <v>375</v>
      </c>
      <c r="B136" s="0" t="s">
        <v>46</v>
      </c>
      <c r="C136" s="2" t="s">
        <v>376</v>
      </c>
      <c r="D136" s="2" t="s">
        <v>377</v>
      </c>
      <c r="E136" s="3" t="s">
        <v>34</v>
      </c>
      <c r="F136" s="3" t="s">
        <v>29</v>
      </c>
      <c r="G136" s="0" t="n">
        <v>570</v>
      </c>
      <c r="H136" s="4" t="n">
        <v>71.51</v>
      </c>
      <c r="I136" s="4" t="n">
        <v>66.47</v>
      </c>
      <c r="K136" s="3" t="s">
        <v>24</v>
      </c>
      <c r="L136" s="3" t="n">
        <f aca="false">IF(D136="","",IF(D136-C136&lt;0,"",D136-C136))</f>
        <v>16</v>
      </c>
      <c r="M136" s="4" t="n">
        <f aca="false">G136*I136</f>
        <v>37887.9</v>
      </c>
      <c r="N136" s="5" t="str">
        <f aca="false">IF(J136="","",J136/G136*100)</f>
        <v/>
      </c>
      <c r="O136" s="5" t="n">
        <f aca="false">(H136-I136)/H136*100</f>
        <v>7.04796531953574</v>
      </c>
      <c r="P136" s="3" t="n">
        <f aca="false">IF(OR(F136="Delivered",F136="Partially Delivered"),1,0)</f>
        <v>1</v>
      </c>
      <c r="Q136" s="3" t="n">
        <f aca="false">IF(F136="Cancelled",1,0)</f>
        <v>0</v>
      </c>
      <c r="R136" s="3" t="n">
        <f aca="false">IF(K136="Yes",1,0)</f>
        <v>1</v>
      </c>
    </row>
    <row r="137" customFormat="false" ht="15" hidden="false" customHeight="false" outlineLevel="0" collapsed="false">
      <c r="A137" s="0" t="s">
        <v>378</v>
      </c>
      <c r="B137" s="0" t="s">
        <v>36</v>
      </c>
      <c r="C137" s="2" t="s">
        <v>379</v>
      </c>
      <c r="D137" s="2" t="s">
        <v>380</v>
      </c>
      <c r="E137" s="3" t="s">
        <v>43</v>
      </c>
      <c r="F137" s="3" t="s">
        <v>29</v>
      </c>
      <c r="G137" s="0" t="n">
        <v>1417</v>
      </c>
      <c r="H137" s="4" t="n">
        <v>67.27</v>
      </c>
      <c r="I137" s="4" t="n">
        <v>60.62</v>
      </c>
      <c r="K137" s="3" t="s">
        <v>24</v>
      </c>
      <c r="L137" s="3" t="n">
        <f aca="false">IF(D137="","",IF(D137-C137&lt;0,"",D137-C137))</f>
        <v>20</v>
      </c>
      <c r="M137" s="4" t="n">
        <f aca="false">G137*I137</f>
        <v>85898.54</v>
      </c>
      <c r="N137" s="5" t="str">
        <f aca="false">IF(J137="","",J137/G137*100)</f>
        <v/>
      </c>
      <c r="O137" s="5" t="n">
        <f aca="false">(H137-I137)/H137*100</f>
        <v>9.88553590010406</v>
      </c>
      <c r="P137" s="3" t="n">
        <f aca="false">IF(OR(F137="Delivered",F137="Partially Delivered"),1,0)</f>
        <v>1</v>
      </c>
      <c r="Q137" s="3" t="n">
        <f aca="false">IF(F137="Cancelled",1,0)</f>
        <v>0</v>
      </c>
      <c r="R137" s="3" t="n">
        <f aca="false">IF(K137="Yes",1,0)</f>
        <v>1</v>
      </c>
    </row>
    <row r="138" customFormat="false" ht="15" hidden="false" customHeight="false" outlineLevel="0" collapsed="false">
      <c r="A138" s="0" t="s">
        <v>381</v>
      </c>
      <c r="B138" s="0" t="s">
        <v>19</v>
      </c>
      <c r="C138" s="2" t="s">
        <v>382</v>
      </c>
      <c r="D138" s="2" t="s">
        <v>383</v>
      </c>
      <c r="E138" s="3" t="s">
        <v>43</v>
      </c>
      <c r="F138" s="3" t="s">
        <v>29</v>
      </c>
      <c r="G138" s="0" t="n">
        <v>1202</v>
      </c>
      <c r="H138" s="4" t="n">
        <v>46.67</v>
      </c>
      <c r="I138" s="4" t="n">
        <v>44.13</v>
      </c>
      <c r="J138" s="0" t="n">
        <v>21</v>
      </c>
      <c r="K138" s="3" t="s">
        <v>44</v>
      </c>
      <c r="L138" s="3" t="n">
        <f aca="false">IF(D138="","",IF(D138-C138&lt;0,"",D138-C138))</f>
        <v>6</v>
      </c>
      <c r="M138" s="4" t="n">
        <f aca="false">G138*I138</f>
        <v>53044.26</v>
      </c>
      <c r="N138" s="5" t="n">
        <f aca="false">IF(J138="","",J138/G138*100)</f>
        <v>1.74708818635607</v>
      </c>
      <c r="O138" s="5" t="n">
        <f aca="false">(H138-I138)/H138*100</f>
        <v>5.44246839511463</v>
      </c>
      <c r="P138" s="3" t="n">
        <f aca="false">IF(OR(F138="Delivered",F138="Partially Delivered"),1,0)</f>
        <v>1</v>
      </c>
      <c r="Q138" s="3" t="n">
        <f aca="false">IF(F138="Cancelled",1,0)</f>
        <v>0</v>
      </c>
      <c r="R138" s="3" t="n">
        <f aca="false">IF(K138="Yes",1,0)</f>
        <v>0</v>
      </c>
    </row>
    <row r="139" customFormat="false" ht="15" hidden="false" customHeight="false" outlineLevel="0" collapsed="false">
      <c r="A139" s="0" t="s">
        <v>384</v>
      </c>
      <c r="B139" s="0" t="s">
        <v>36</v>
      </c>
      <c r="C139" s="2" t="s">
        <v>126</v>
      </c>
      <c r="D139" s="2" t="s">
        <v>385</v>
      </c>
      <c r="E139" s="3" t="s">
        <v>22</v>
      </c>
      <c r="F139" s="3" t="s">
        <v>29</v>
      </c>
      <c r="G139" s="0" t="n">
        <v>697</v>
      </c>
      <c r="H139" s="4" t="n">
        <v>20.73</v>
      </c>
      <c r="I139" s="4" t="n">
        <v>19.83</v>
      </c>
      <c r="J139" s="0" t="n">
        <v>78</v>
      </c>
      <c r="K139" s="3" t="s">
        <v>44</v>
      </c>
      <c r="L139" s="3" t="n">
        <f aca="false">IF(D139="","",IF(D139-C139&lt;0,"",D139-C139))</f>
        <v>1</v>
      </c>
      <c r="M139" s="4" t="n">
        <f aca="false">G139*I139</f>
        <v>13821.51</v>
      </c>
      <c r="N139" s="5" t="n">
        <f aca="false">IF(J139="","",J139/G139*100)</f>
        <v>11.1908177905308</v>
      </c>
      <c r="O139" s="5" t="n">
        <f aca="false">(H139-I139)/H139*100</f>
        <v>4.34153400868308</v>
      </c>
      <c r="P139" s="3" t="n">
        <f aca="false">IF(OR(F139="Delivered",F139="Partially Delivered"),1,0)</f>
        <v>1</v>
      </c>
      <c r="Q139" s="3" t="n">
        <f aca="false">IF(F139="Cancelled",1,0)</f>
        <v>0</v>
      </c>
      <c r="R139" s="3" t="n">
        <f aca="false">IF(K139="Yes",1,0)</f>
        <v>0</v>
      </c>
    </row>
    <row r="140" customFormat="false" ht="15" hidden="false" customHeight="false" outlineLevel="0" collapsed="false">
      <c r="A140" s="0" t="s">
        <v>386</v>
      </c>
      <c r="B140" s="0" t="s">
        <v>46</v>
      </c>
      <c r="C140" s="2" t="s">
        <v>57</v>
      </c>
      <c r="D140" s="2" t="s">
        <v>253</v>
      </c>
      <c r="E140" s="3" t="s">
        <v>34</v>
      </c>
      <c r="F140" s="3" t="s">
        <v>29</v>
      </c>
      <c r="G140" s="0" t="n">
        <v>1545</v>
      </c>
      <c r="H140" s="4" t="n">
        <v>78.19</v>
      </c>
      <c r="I140" s="4" t="n">
        <v>76.91</v>
      </c>
      <c r="J140" s="0" t="n">
        <v>42</v>
      </c>
      <c r="K140" s="3" t="s">
        <v>24</v>
      </c>
      <c r="L140" s="3" t="n">
        <f aca="false">IF(D140="","",IF(D140-C140&lt;0,"",D140-C140))</f>
        <v>3</v>
      </c>
      <c r="M140" s="4" t="n">
        <f aca="false">G140*I140</f>
        <v>118825.95</v>
      </c>
      <c r="N140" s="5" t="n">
        <f aca="false">IF(J140="","",J140/G140*100)</f>
        <v>2.71844660194175</v>
      </c>
      <c r="O140" s="5" t="n">
        <f aca="false">(H140-I140)/H140*100</f>
        <v>1.63703798439698</v>
      </c>
      <c r="P140" s="3" t="n">
        <f aca="false">IF(OR(F140="Delivered",F140="Partially Delivered"),1,0)</f>
        <v>1</v>
      </c>
      <c r="Q140" s="3" t="n">
        <f aca="false">IF(F140="Cancelled",1,0)</f>
        <v>0</v>
      </c>
      <c r="R140" s="3" t="n">
        <f aca="false">IF(K140="Yes",1,0)</f>
        <v>1</v>
      </c>
    </row>
    <row r="141" customFormat="false" ht="15" hidden="false" customHeight="false" outlineLevel="0" collapsed="false">
      <c r="A141" s="0" t="s">
        <v>387</v>
      </c>
      <c r="B141" s="0" t="s">
        <v>31</v>
      </c>
      <c r="C141" s="2" t="s">
        <v>69</v>
      </c>
      <c r="D141" s="2" t="s">
        <v>388</v>
      </c>
      <c r="E141" s="3" t="s">
        <v>34</v>
      </c>
      <c r="F141" s="3" t="s">
        <v>58</v>
      </c>
      <c r="G141" s="0" t="n">
        <v>1136</v>
      </c>
      <c r="H141" s="4" t="n">
        <v>60.81</v>
      </c>
      <c r="I141" s="4" t="n">
        <v>58.25</v>
      </c>
      <c r="J141" s="0" t="n">
        <v>62</v>
      </c>
      <c r="K141" s="3" t="s">
        <v>24</v>
      </c>
      <c r="L141" s="3" t="n">
        <f aca="false">IF(D141="","",IF(D141-C141&lt;0,"",D141-C141))</f>
        <v>4</v>
      </c>
      <c r="M141" s="4" t="n">
        <f aca="false">G141*I141</f>
        <v>66172</v>
      </c>
      <c r="N141" s="5" t="n">
        <f aca="false">IF(J141="","",J141/G141*100)</f>
        <v>5.45774647887324</v>
      </c>
      <c r="O141" s="5" t="n">
        <f aca="false">(H141-I141)/H141*100</f>
        <v>4.20983390889657</v>
      </c>
      <c r="P141" s="3" t="n">
        <f aca="false">IF(OR(F141="Delivered",F141="Partially Delivered"),1,0)</f>
        <v>1</v>
      </c>
      <c r="Q141" s="3" t="n">
        <f aca="false">IF(F141="Cancelled",1,0)</f>
        <v>0</v>
      </c>
      <c r="R141" s="3" t="n">
        <f aca="false">IF(K141="Yes",1,0)</f>
        <v>1</v>
      </c>
    </row>
    <row r="142" customFormat="false" ht="15" hidden="false" customHeight="false" outlineLevel="0" collapsed="false">
      <c r="A142" s="0" t="s">
        <v>389</v>
      </c>
      <c r="B142" s="0" t="s">
        <v>36</v>
      </c>
      <c r="C142" s="2" t="s">
        <v>357</v>
      </c>
      <c r="D142" s="2" t="s">
        <v>390</v>
      </c>
      <c r="E142" s="3" t="s">
        <v>34</v>
      </c>
      <c r="F142" s="3" t="s">
        <v>29</v>
      </c>
      <c r="G142" s="0" t="n">
        <v>1212</v>
      </c>
      <c r="H142" s="4" t="n">
        <v>87.46</v>
      </c>
      <c r="I142" s="4" t="n">
        <v>74.55</v>
      </c>
      <c r="J142" s="0" t="n">
        <v>118</v>
      </c>
      <c r="K142" s="3" t="s">
        <v>44</v>
      </c>
      <c r="L142" s="3" t="n">
        <f aca="false">IF(D142="","",IF(D142-C142&lt;0,"",D142-C142))</f>
        <v>4</v>
      </c>
      <c r="M142" s="4" t="n">
        <f aca="false">G142*I142</f>
        <v>90354.6</v>
      </c>
      <c r="N142" s="5" t="n">
        <f aca="false">IF(J142="","",J142/G142*100)</f>
        <v>9.73597359735974</v>
      </c>
      <c r="O142" s="5" t="n">
        <f aca="false">(H142-I142)/H142*100</f>
        <v>14.761033615367</v>
      </c>
      <c r="P142" s="3" t="n">
        <f aca="false">IF(OR(F142="Delivered",F142="Partially Delivered"),1,0)</f>
        <v>1</v>
      </c>
      <c r="Q142" s="3" t="n">
        <f aca="false">IF(F142="Cancelled",1,0)</f>
        <v>0</v>
      </c>
      <c r="R142" s="3" t="n">
        <f aca="false">IF(K142="Yes",1,0)</f>
        <v>0</v>
      </c>
    </row>
    <row r="143" customFormat="false" ht="15" hidden="false" customHeight="false" outlineLevel="0" collapsed="false">
      <c r="A143" s="0" t="s">
        <v>391</v>
      </c>
      <c r="B143" s="0" t="s">
        <v>46</v>
      </c>
      <c r="C143" s="2" t="s">
        <v>392</v>
      </c>
      <c r="D143" s="2" t="s">
        <v>311</v>
      </c>
      <c r="E143" s="3" t="s">
        <v>34</v>
      </c>
      <c r="F143" s="3" t="s">
        <v>29</v>
      </c>
      <c r="G143" s="0" t="n">
        <v>1572</v>
      </c>
      <c r="H143" s="4" t="n">
        <v>57.38</v>
      </c>
      <c r="I143" s="4" t="n">
        <v>49.32</v>
      </c>
      <c r="J143" s="0" t="n">
        <v>40</v>
      </c>
      <c r="K143" s="3" t="s">
        <v>24</v>
      </c>
      <c r="L143" s="3" t="n">
        <f aca="false">IF(D143="","",IF(D143-C143&lt;0,"",D143-C143))</f>
        <v>5</v>
      </c>
      <c r="M143" s="4" t="n">
        <f aca="false">G143*I143</f>
        <v>77531.04</v>
      </c>
      <c r="N143" s="5" t="n">
        <f aca="false">IF(J143="","",J143/G143*100)</f>
        <v>2.54452926208651</v>
      </c>
      <c r="O143" s="5" t="n">
        <f aca="false">(H143-I143)/H143*100</f>
        <v>14.046706169397</v>
      </c>
      <c r="P143" s="3" t="n">
        <f aca="false">IF(OR(F143="Delivered",F143="Partially Delivered"),1,0)</f>
        <v>1</v>
      </c>
      <c r="Q143" s="3" t="n">
        <f aca="false">IF(F143="Cancelled",1,0)</f>
        <v>0</v>
      </c>
      <c r="R143" s="3" t="n">
        <f aca="false">IF(K143="Yes",1,0)</f>
        <v>1</v>
      </c>
    </row>
    <row r="144" customFormat="false" ht="15" hidden="false" customHeight="false" outlineLevel="0" collapsed="false">
      <c r="A144" s="0" t="s">
        <v>393</v>
      </c>
      <c r="B144" s="0" t="s">
        <v>31</v>
      </c>
      <c r="C144" s="2" t="s">
        <v>394</v>
      </c>
      <c r="D144" s="2" t="s">
        <v>395</v>
      </c>
      <c r="E144" s="3" t="s">
        <v>71</v>
      </c>
      <c r="F144" s="3" t="s">
        <v>29</v>
      </c>
      <c r="G144" s="0" t="n">
        <v>642</v>
      </c>
      <c r="H144" s="4" t="n">
        <v>91.9</v>
      </c>
      <c r="I144" s="4" t="n">
        <v>81.49</v>
      </c>
      <c r="J144" s="0" t="n">
        <v>26</v>
      </c>
      <c r="K144" s="3" t="s">
        <v>24</v>
      </c>
      <c r="L144" s="3" t="n">
        <f aca="false">IF(D144="","",IF(D144-C144&lt;0,"",D144-C144))</f>
        <v>10</v>
      </c>
      <c r="M144" s="4" t="n">
        <f aca="false">G144*I144</f>
        <v>52316.58</v>
      </c>
      <c r="N144" s="5" t="n">
        <f aca="false">IF(J144="","",J144/G144*100)</f>
        <v>4.04984423676013</v>
      </c>
      <c r="O144" s="5" t="n">
        <f aca="false">(H144-I144)/H144*100</f>
        <v>11.3275299238303</v>
      </c>
      <c r="P144" s="3" t="n">
        <f aca="false">IF(OR(F144="Delivered",F144="Partially Delivered"),1,0)</f>
        <v>1</v>
      </c>
      <c r="Q144" s="3" t="n">
        <f aca="false">IF(F144="Cancelled",1,0)</f>
        <v>0</v>
      </c>
      <c r="R144" s="3" t="n">
        <f aca="false">IF(K144="Yes",1,0)</f>
        <v>1</v>
      </c>
    </row>
    <row r="145" customFormat="false" ht="15" hidden="false" customHeight="false" outlineLevel="0" collapsed="false">
      <c r="A145" s="0" t="s">
        <v>396</v>
      </c>
      <c r="B145" s="0" t="s">
        <v>46</v>
      </c>
      <c r="C145" s="2" t="s">
        <v>397</v>
      </c>
      <c r="D145" s="2" t="s">
        <v>239</v>
      </c>
      <c r="E145" s="3" t="s">
        <v>22</v>
      </c>
      <c r="F145" s="3" t="s">
        <v>29</v>
      </c>
      <c r="G145" s="0" t="n">
        <v>441</v>
      </c>
      <c r="H145" s="4" t="n">
        <v>63.25</v>
      </c>
      <c r="I145" s="4" t="n">
        <v>54.12</v>
      </c>
      <c r="J145" s="0" t="n">
        <v>16</v>
      </c>
      <c r="K145" s="3" t="s">
        <v>24</v>
      </c>
      <c r="L145" s="3" t="n">
        <f aca="false">IF(D145="","",IF(D145-C145&lt;0,"",D145-C145))</f>
        <v>9</v>
      </c>
      <c r="M145" s="4" t="n">
        <f aca="false">G145*I145</f>
        <v>23866.92</v>
      </c>
      <c r="N145" s="5" t="n">
        <f aca="false">IF(J145="","",J145/G145*100)</f>
        <v>3.6281179138322</v>
      </c>
      <c r="O145" s="5" t="n">
        <f aca="false">(H145-I145)/H145*100</f>
        <v>14.4347826086957</v>
      </c>
      <c r="P145" s="3" t="n">
        <f aca="false">IF(OR(F145="Delivered",F145="Partially Delivered"),1,0)</f>
        <v>1</v>
      </c>
      <c r="Q145" s="3" t="n">
        <f aca="false">IF(F145="Cancelled",1,0)</f>
        <v>0</v>
      </c>
      <c r="R145" s="3" t="n">
        <f aca="false">IF(K145="Yes",1,0)</f>
        <v>1</v>
      </c>
    </row>
    <row r="146" customFormat="false" ht="15" hidden="false" customHeight="false" outlineLevel="0" collapsed="false">
      <c r="A146" s="0" t="s">
        <v>398</v>
      </c>
      <c r="B146" s="0" t="s">
        <v>46</v>
      </c>
      <c r="C146" s="2" t="s">
        <v>357</v>
      </c>
      <c r="D146" s="2" t="s">
        <v>399</v>
      </c>
      <c r="E146" s="3" t="s">
        <v>22</v>
      </c>
      <c r="F146" s="3" t="s">
        <v>29</v>
      </c>
      <c r="G146" s="0" t="n">
        <v>1748</v>
      </c>
      <c r="H146" s="4" t="n">
        <v>66.53</v>
      </c>
      <c r="I146" s="4" t="n">
        <v>57.11</v>
      </c>
      <c r="K146" s="3" t="s">
        <v>24</v>
      </c>
      <c r="L146" s="3" t="n">
        <f aca="false">IF(D146="","",IF(D146-C146&lt;0,"",D146-C146))</f>
        <v>16</v>
      </c>
      <c r="M146" s="4" t="n">
        <f aca="false">G146*I146</f>
        <v>99828.28</v>
      </c>
      <c r="N146" s="5" t="str">
        <f aca="false">IF(J146="","",J146/G146*100)</f>
        <v/>
      </c>
      <c r="O146" s="5" t="n">
        <f aca="false">(H146-I146)/H146*100</f>
        <v>14.1590260033068</v>
      </c>
      <c r="P146" s="3" t="n">
        <f aca="false">IF(OR(F146="Delivered",F146="Partially Delivered"),1,0)</f>
        <v>1</v>
      </c>
      <c r="Q146" s="3" t="n">
        <f aca="false">IF(F146="Cancelled",1,0)</f>
        <v>0</v>
      </c>
      <c r="R146" s="3" t="n">
        <f aca="false">IF(K146="Yes",1,0)</f>
        <v>1</v>
      </c>
    </row>
    <row r="147" customFormat="false" ht="15" hidden="false" customHeight="false" outlineLevel="0" collapsed="false">
      <c r="A147" s="0" t="s">
        <v>400</v>
      </c>
      <c r="B147" s="0" t="s">
        <v>31</v>
      </c>
      <c r="C147" s="2" t="s">
        <v>401</v>
      </c>
      <c r="D147" s="2"/>
      <c r="E147" s="3" t="s">
        <v>71</v>
      </c>
      <c r="F147" s="3" t="s">
        <v>62</v>
      </c>
      <c r="G147" s="0" t="n">
        <v>468</v>
      </c>
      <c r="H147" s="4" t="n">
        <v>95.57</v>
      </c>
      <c r="I147" s="4" t="n">
        <v>91.8</v>
      </c>
      <c r="J147" s="0" t="n">
        <v>24</v>
      </c>
      <c r="K147" s="3" t="s">
        <v>24</v>
      </c>
      <c r="L147" s="0" t="str">
        <f aca="false">IF(D147="","",IF(D147-C147&lt;0,"",D147-C147))</f>
        <v/>
      </c>
      <c r="M147" s="4" t="n">
        <f aca="false">G147*I147</f>
        <v>42962.4</v>
      </c>
      <c r="N147" s="5" t="n">
        <f aca="false">IF(J147="","",J147/G147*100)</f>
        <v>5.12820512820513</v>
      </c>
      <c r="O147" s="5" t="n">
        <f aca="false">(H147-I147)/H147*100</f>
        <v>3.94475253740713</v>
      </c>
      <c r="P147" s="3" t="n">
        <f aca="false">IF(OR(F147="Delivered",F147="Partially Delivered"),1,0)</f>
        <v>0</v>
      </c>
      <c r="Q147" s="3" t="n">
        <f aca="false">IF(F147="Cancelled",1,0)</f>
        <v>0</v>
      </c>
      <c r="R147" s="3" t="n">
        <f aca="false">IF(K147="Yes",1,0)</f>
        <v>1</v>
      </c>
    </row>
    <row r="148" customFormat="false" ht="15" hidden="false" customHeight="false" outlineLevel="0" collapsed="false">
      <c r="A148" s="0" t="s">
        <v>402</v>
      </c>
      <c r="B148" s="0" t="s">
        <v>36</v>
      </c>
      <c r="C148" s="2" t="s">
        <v>403</v>
      </c>
      <c r="D148" s="2" t="s">
        <v>173</v>
      </c>
      <c r="E148" s="3" t="s">
        <v>43</v>
      </c>
      <c r="F148" s="3" t="s">
        <v>29</v>
      </c>
      <c r="G148" s="0" t="n">
        <v>338</v>
      </c>
      <c r="H148" s="4" t="n">
        <v>50.25</v>
      </c>
      <c r="I148" s="4" t="n">
        <v>46.28</v>
      </c>
      <c r="J148" s="0" t="n">
        <v>49</v>
      </c>
      <c r="K148" s="3" t="s">
        <v>44</v>
      </c>
      <c r="L148" s="3" t="n">
        <f aca="false">IF(D148="","",IF(D148-C148&lt;0,"",D148-C148))</f>
        <v>18</v>
      </c>
      <c r="M148" s="4" t="n">
        <f aca="false">G148*I148</f>
        <v>15642.64</v>
      </c>
      <c r="N148" s="5" t="n">
        <f aca="false">IF(J148="","",J148/G148*100)</f>
        <v>14.4970414201183</v>
      </c>
      <c r="O148" s="5" t="n">
        <f aca="false">(H148-I148)/H148*100</f>
        <v>7.90049751243781</v>
      </c>
      <c r="P148" s="3" t="n">
        <f aca="false">IF(OR(F148="Delivered",F148="Partially Delivered"),1,0)</f>
        <v>1</v>
      </c>
      <c r="Q148" s="3" t="n">
        <f aca="false">IF(F148="Cancelled",1,0)</f>
        <v>0</v>
      </c>
      <c r="R148" s="3" t="n">
        <f aca="false">IF(K148="Yes",1,0)</f>
        <v>0</v>
      </c>
    </row>
    <row r="149" customFormat="false" ht="15" hidden="false" customHeight="false" outlineLevel="0" collapsed="false">
      <c r="A149" s="0" t="s">
        <v>404</v>
      </c>
      <c r="B149" s="0" t="s">
        <v>31</v>
      </c>
      <c r="C149" s="2" t="s">
        <v>405</v>
      </c>
      <c r="D149" s="2" t="s">
        <v>406</v>
      </c>
      <c r="E149" s="3" t="s">
        <v>22</v>
      </c>
      <c r="F149" s="3" t="s">
        <v>29</v>
      </c>
      <c r="G149" s="0" t="n">
        <v>428</v>
      </c>
      <c r="H149" s="4" t="n">
        <v>22.94</v>
      </c>
      <c r="I149" s="4" t="n">
        <v>21.52</v>
      </c>
      <c r="J149" s="0" t="n">
        <v>26</v>
      </c>
      <c r="K149" s="3" t="s">
        <v>24</v>
      </c>
      <c r="L149" s="3" t="n">
        <f aca="false">IF(D149="","",IF(D149-C149&lt;0,"",D149-C149))</f>
        <v>7</v>
      </c>
      <c r="M149" s="4" t="n">
        <f aca="false">G149*I149</f>
        <v>9210.56</v>
      </c>
      <c r="N149" s="5" t="n">
        <f aca="false">IF(J149="","",J149/G149*100)</f>
        <v>6.07476635514019</v>
      </c>
      <c r="O149" s="5" t="n">
        <f aca="false">(H149-I149)/H149*100</f>
        <v>6.19006102877071</v>
      </c>
      <c r="P149" s="3" t="n">
        <f aca="false">IF(OR(F149="Delivered",F149="Partially Delivered"),1,0)</f>
        <v>1</v>
      </c>
      <c r="Q149" s="3" t="n">
        <f aca="false">IF(F149="Cancelled",1,0)</f>
        <v>0</v>
      </c>
      <c r="R149" s="3" t="n">
        <f aca="false">IF(K149="Yes",1,0)</f>
        <v>1</v>
      </c>
    </row>
    <row r="150" customFormat="false" ht="15" hidden="false" customHeight="false" outlineLevel="0" collapsed="false">
      <c r="A150" s="0" t="s">
        <v>407</v>
      </c>
      <c r="B150" s="0" t="s">
        <v>36</v>
      </c>
      <c r="C150" s="2" t="s">
        <v>408</v>
      </c>
      <c r="D150" s="2"/>
      <c r="E150" s="3" t="s">
        <v>39</v>
      </c>
      <c r="F150" s="3" t="s">
        <v>29</v>
      </c>
      <c r="G150" s="0" t="n">
        <v>1846</v>
      </c>
      <c r="H150" s="4" t="n">
        <v>13.72</v>
      </c>
      <c r="I150" s="4" t="n">
        <v>12.62</v>
      </c>
      <c r="J150" s="0" t="n">
        <v>216</v>
      </c>
      <c r="K150" s="3" t="s">
        <v>24</v>
      </c>
      <c r="L150" s="0" t="str">
        <f aca="false">IF(D150="","",IF(D150-C150&lt;0,"",D150-C150))</f>
        <v/>
      </c>
      <c r="M150" s="4" t="n">
        <f aca="false">G150*I150</f>
        <v>23296.52</v>
      </c>
      <c r="N150" s="5" t="n">
        <f aca="false">IF(J150="","",J150/G150*100)</f>
        <v>11.7009750812568</v>
      </c>
      <c r="O150" s="5" t="n">
        <f aca="false">(H150-I150)/H150*100</f>
        <v>8.01749271137027</v>
      </c>
      <c r="P150" s="3" t="n">
        <f aca="false">IF(OR(F150="Delivered",F150="Partially Delivered"),1,0)</f>
        <v>1</v>
      </c>
      <c r="Q150" s="3" t="n">
        <f aca="false">IF(F150="Cancelled",1,0)</f>
        <v>0</v>
      </c>
      <c r="R150" s="3" t="n">
        <f aca="false">IF(K150="Yes",1,0)</f>
        <v>1</v>
      </c>
    </row>
    <row r="151" customFormat="false" ht="15" hidden="false" customHeight="false" outlineLevel="0" collapsed="false">
      <c r="A151" s="0" t="s">
        <v>409</v>
      </c>
      <c r="B151" s="0" t="s">
        <v>46</v>
      </c>
      <c r="C151" s="2" t="s">
        <v>410</v>
      </c>
      <c r="D151" s="2" t="s">
        <v>411</v>
      </c>
      <c r="E151" s="3" t="s">
        <v>22</v>
      </c>
      <c r="F151" s="3" t="s">
        <v>29</v>
      </c>
      <c r="G151" s="0" t="n">
        <v>1563</v>
      </c>
      <c r="H151" s="4" t="n">
        <v>77.96</v>
      </c>
      <c r="I151" s="4" t="n">
        <v>70.8</v>
      </c>
      <c r="J151" s="0" t="n">
        <v>41</v>
      </c>
      <c r="K151" s="3" t="s">
        <v>24</v>
      </c>
      <c r="L151" s="3" t="n">
        <f aca="false">IF(D151="","",IF(D151-C151&lt;0,"",D151-C151))</f>
        <v>5</v>
      </c>
      <c r="M151" s="4" t="n">
        <f aca="false">G151*I151</f>
        <v>110660.4</v>
      </c>
      <c r="N151" s="5" t="n">
        <f aca="false">IF(J151="","",J151/G151*100)</f>
        <v>2.62316058861164</v>
      </c>
      <c r="O151" s="5" t="n">
        <f aca="false">(H151-I151)/H151*100</f>
        <v>9.18419702411493</v>
      </c>
      <c r="P151" s="3" t="n">
        <f aca="false">IF(OR(F151="Delivered",F151="Partially Delivered"),1,0)</f>
        <v>1</v>
      </c>
      <c r="Q151" s="3" t="n">
        <f aca="false">IF(F151="Cancelled",1,0)</f>
        <v>0</v>
      </c>
      <c r="R151" s="3" t="n">
        <f aca="false">IF(K151="Yes",1,0)</f>
        <v>1</v>
      </c>
    </row>
    <row r="152" customFormat="false" ht="15" hidden="false" customHeight="false" outlineLevel="0" collapsed="false">
      <c r="A152" s="0" t="s">
        <v>412</v>
      </c>
      <c r="B152" s="0" t="s">
        <v>36</v>
      </c>
      <c r="C152" s="2" t="s">
        <v>57</v>
      </c>
      <c r="D152" s="2" t="s">
        <v>254</v>
      </c>
      <c r="E152" s="3" t="s">
        <v>22</v>
      </c>
      <c r="F152" s="3" t="s">
        <v>29</v>
      </c>
      <c r="G152" s="0" t="n">
        <v>280</v>
      </c>
      <c r="H152" s="4" t="n">
        <v>73.07</v>
      </c>
      <c r="I152" s="4" t="n">
        <v>69.29</v>
      </c>
      <c r="J152" s="0" t="n">
        <v>30</v>
      </c>
      <c r="K152" s="3" t="s">
        <v>24</v>
      </c>
      <c r="L152" s="3" t="n">
        <f aca="false">IF(D152="","",IF(D152-C152&lt;0,"",D152-C152))</f>
        <v>9</v>
      </c>
      <c r="M152" s="4" t="n">
        <f aca="false">G152*I152</f>
        <v>19401.2</v>
      </c>
      <c r="N152" s="5" t="n">
        <f aca="false">IF(J152="","",J152/G152*100)</f>
        <v>10.7142857142857</v>
      </c>
      <c r="O152" s="5" t="n">
        <f aca="false">(H152-I152)/H152*100</f>
        <v>5.17312166415764</v>
      </c>
      <c r="P152" s="3" t="n">
        <f aca="false">IF(OR(F152="Delivered",F152="Partially Delivered"),1,0)</f>
        <v>1</v>
      </c>
      <c r="Q152" s="3" t="n">
        <f aca="false">IF(F152="Cancelled",1,0)</f>
        <v>0</v>
      </c>
      <c r="R152" s="3" t="n">
        <f aca="false">IF(K152="Yes",1,0)</f>
        <v>1</v>
      </c>
    </row>
    <row r="153" customFormat="false" ht="15" hidden="false" customHeight="false" outlineLevel="0" collapsed="false">
      <c r="A153" s="0" t="s">
        <v>413</v>
      </c>
      <c r="B153" s="0" t="s">
        <v>26</v>
      </c>
      <c r="C153" s="2" t="s">
        <v>414</v>
      </c>
      <c r="D153" s="2" t="s">
        <v>415</v>
      </c>
      <c r="E153" s="3" t="s">
        <v>43</v>
      </c>
      <c r="F153" s="3" t="s">
        <v>29</v>
      </c>
      <c r="G153" s="0" t="n">
        <v>1067</v>
      </c>
      <c r="H153" s="4" t="n">
        <v>74.47</v>
      </c>
      <c r="I153" s="4" t="n">
        <v>64.16</v>
      </c>
      <c r="K153" s="3" t="s">
        <v>44</v>
      </c>
      <c r="L153" s="3" t="n">
        <f aca="false">IF(D153="","",IF(D153-C153&lt;0,"",D153-C153))</f>
        <v>14</v>
      </c>
      <c r="M153" s="4" t="n">
        <f aca="false">G153*I153</f>
        <v>68458.72</v>
      </c>
      <c r="N153" s="5" t="str">
        <f aca="false">IF(J153="","",J153/G153*100)</f>
        <v/>
      </c>
      <c r="O153" s="5" t="n">
        <f aca="false">(H153-I153)/H153*100</f>
        <v>13.8445011413992</v>
      </c>
      <c r="P153" s="3" t="n">
        <f aca="false">IF(OR(F153="Delivered",F153="Partially Delivered"),1,0)</f>
        <v>1</v>
      </c>
      <c r="Q153" s="3" t="n">
        <f aca="false">IF(F153="Cancelled",1,0)</f>
        <v>0</v>
      </c>
      <c r="R153" s="3" t="n">
        <f aca="false">IF(K153="Yes",1,0)</f>
        <v>0</v>
      </c>
    </row>
    <row r="154" customFormat="false" ht="15" hidden="false" customHeight="false" outlineLevel="0" collapsed="false">
      <c r="A154" s="0" t="s">
        <v>416</v>
      </c>
      <c r="B154" s="0" t="s">
        <v>31</v>
      </c>
      <c r="C154" s="2" t="s">
        <v>417</v>
      </c>
      <c r="D154" s="2" t="s">
        <v>130</v>
      </c>
      <c r="E154" s="3" t="s">
        <v>71</v>
      </c>
      <c r="F154" s="3" t="s">
        <v>62</v>
      </c>
      <c r="G154" s="0" t="n">
        <v>90</v>
      </c>
      <c r="H154" s="4" t="n">
        <v>32.38</v>
      </c>
      <c r="I154" s="4" t="n">
        <v>29.96</v>
      </c>
      <c r="J154" s="0" t="n">
        <v>7</v>
      </c>
      <c r="K154" s="3" t="s">
        <v>24</v>
      </c>
      <c r="L154" s="3" t="n">
        <f aca="false">IF(D154="","",IF(D154-C154&lt;0,"",D154-C154))</f>
        <v>17</v>
      </c>
      <c r="M154" s="4" t="n">
        <f aca="false">G154*I154</f>
        <v>2696.4</v>
      </c>
      <c r="N154" s="5" t="n">
        <f aca="false">IF(J154="","",J154/G154*100)</f>
        <v>7.77777777777778</v>
      </c>
      <c r="O154" s="5" t="n">
        <f aca="false">(H154-I154)/H154*100</f>
        <v>7.47374922791847</v>
      </c>
      <c r="P154" s="3" t="n">
        <f aca="false">IF(OR(F154="Delivered",F154="Partially Delivered"),1,0)</f>
        <v>0</v>
      </c>
      <c r="Q154" s="3" t="n">
        <f aca="false">IF(F154="Cancelled",1,0)</f>
        <v>0</v>
      </c>
      <c r="R154" s="3" t="n">
        <f aca="false">IF(K154="Yes",1,0)</f>
        <v>1</v>
      </c>
    </row>
    <row r="155" customFormat="false" ht="15" hidden="false" customHeight="false" outlineLevel="0" collapsed="false">
      <c r="A155" s="0" t="s">
        <v>418</v>
      </c>
      <c r="B155" s="0" t="s">
        <v>31</v>
      </c>
      <c r="C155" s="2" t="s">
        <v>172</v>
      </c>
      <c r="D155" s="2" t="s">
        <v>419</v>
      </c>
      <c r="E155" s="3" t="s">
        <v>43</v>
      </c>
      <c r="F155" s="3" t="s">
        <v>29</v>
      </c>
      <c r="G155" s="0" t="n">
        <v>1101</v>
      </c>
      <c r="H155" s="4" t="n">
        <v>24.28</v>
      </c>
      <c r="I155" s="4" t="n">
        <v>22.73</v>
      </c>
      <c r="J155" s="0" t="n">
        <v>59</v>
      </c>
      <c r="K155" s="3" t="s">
        <v>44</v>
      </c>
      <c r="L155" s="3" t="n">
        <f aca="false">IF(D155="","",IF(D155-C155&lt;0,"",D155-C155))</f>
        <v>1</v>
      </c>
      <c r="M155" s="4" t="n">
        <f aca="false">G155*I155</f>
        <v>25025.73</v>
      </c>
      <c r="N155" s="5" t="n">
        <f aca="false">IF(J155="","",J155/G155*100)</f>
        <v>5.35876475930972</v>
      </c>
      <c r="O155" s="5" t="n">
        <f aca="false">(H155-I155)/H155*100</f>
        <v>6.3838550247117</v>
      </c>
      <c r="P155" s="3" t="n">
        <f aca="false">IF(OR(F155="Delivered",F155="Partially Delivered"),1,0)</f>
        <v>1</v>
      </c>
      <c r="Q155" s="3" t="n">
        <f aca="false">IF(F155="Cancelled",1,0)</f>
        <v>0</v>
      </c>
      <c r="R155" s="3" t="n">
        <f aca="false">IF(K155="Yes",1,0)</f>
        <v>0</v>
      </c>
    </row>
    <row r="156" customFormat="false" ht="15" hidden="false" customHeight="false" outlineLevel="0" collapsed="false">
      <c r="A156" s="0" t="s">
        <v>420</v>
      </c>
      <c r="B156" s="0" t="s">
        <v>19</v>
      </c>
      <c r="C156" s="2" t="s">
        <v>248</v>
      </c>
      <c r="D156" s="2" t="s">
        <v>421</v>
      </c>
      <c r="E156" s="3" t="s">
        <v>43</v>
      </c>
      <c r="F156" s="3" t="s">
        <v>29</v>
      </c>
      <c r="G156" s="0" t="n">
        <v>184</v>
      </c>
      <c r="H156" s="4" t="n">
        <v>11.82</v>
      </c>
      <c r="I156" s="4" t="n">
        <v>10.51</v>
      </c>
      <c r="J156" s="0" t="n">
        <v>4</v>
      </c>
      <c r="K156" s="3" t="s">
        <v>24</v>
      </c>
      <c r="L156" s="3" t="n">
        <f aca="false">IF(D156="","",IF(D156-C156&lt;0,"",D156-C156))</f>
        <v>10</v>
      </c>
      <c r="M156" s="4" t="n">
        <f aca="false">G156*I156</f>
        <v>1933.84</v>
      </c>
      <c r="N156" s="5" t="n">
        <f aca="false">IF(J156="","",J156/G156*100)</f>
        <v>2.17391304347826</v>
      </c>
      <c r="O156" s="5" t="n">
        <f aca="false">(H156-I156)/H156*100</f>
        <v>11.082910321489</v>
      </c>
      <c r="P156" s="3" t="n">
        <f aca="false">IF(OR(F156="Delivered",F156="Partially Delivered"),1,0)</f>
        <v>1</v>
      </c>
      <c r="Q156" s="3" t="n">
        <f aca="false">IF(F156="Cancelled",1,0)</f>
        <v>0</v>
      </c>
      <c r="R156" s="3" t="n">
        <f aca="false">IF(K156="Yes",1,0)</f>
        <v>1</v>
      </c>
    </row>
    <row r="157" customFormat="false" ht="15" hidden="false" customHeight="false" outlineLevel="0" collapsed="false">
      <c r="A157" s="0" t="s">
        <v>422</v>
      </c>
      <c r="B157" s="0" t="s">
        <v>46</v>
      </c>
      <c r="C157" s="2" t="s">
        <v>423</v>
      </c>
      <c r="D157" s="2" t="s">
        <v>424</v>
      </c>
      <c r="E157" s="3" t="s">
        <v>71</v>
      </c>
      <c r="F157" s="3" t="s">
        <v>29</v>
      </c>
      <c r="G157" s="0" t="n">
        <v>250</v>
      </c>
      <c r="H157" s="4" t="n">
        <v>45.92</v>
      </c>
      <c r="I157" s="4" t="n">
        <v>41.02</v>
      </c>
      <c r="J157" s="0" t="n">
        <v>3</v>
      </c>
      <c r="K157" s="3" t="s">
        <v>24</v>
      </c>
      <c r="L157" s="3" t="n">
        <f aca="false">IF(D157="","",IF(D157-C157&lt;0,"",D157-C157))</f>
        <v>19</v>
      </c>
      <c r="M157" s="4" t="n">
        <f aca="false">G157*I157</f>
        <v>10255</v>
      </c>
      <c r="N157" s="5" t="n">
        <f aca="false">IF(J157="","",J157/G157*100)</f>
        <v>1.2</v>
      </c>
      <c r="O157" s="5" t="n">
        <f aca="false">(H157-I157)/H157*100</f>
        <v>10.6707317073171</v>
      </c>
      <c r="P157" s="3" t="n">
        <f aca="false">IF(OR(F157="Delivered",F157="Partially Delivered"),1,0)</f>
        <v>1</v>
      </c>
      <c r="Q157" s="3" t="n">
        <f aca="false">IF(F157="Cancelled",1,0)</f>
        <v>0</v>
      </c>
      <c r="R157" s="3" t="n">
        <f aca="false">IF(K157="Yes",1,0)</f>
        <v>1</v>
      </c>
    </row>
    <row r="158" customFormat="false" ht="15" hidden="false" customHeight="false" outlineLevel="0" collapsed="false">
      <c r="A158" s="0" t="s">
        <v>425</v>
      </c>
      <c r="B158" s="0" t="s">
        <v>46</v>
      </c>
      <c r="C158" s="2" t="s">
        <v>134</v>
      </c>
      <c r="D158" s="2"/>
      <c r="E158" s="3" t="s">
        <v>39</v>
      </c>
      <c r="F158" s="3" t="s">
        <v>23</v>
      </c>
      <c r="G158" s="0" t="n">
        <v>1913</v>
      </c>
      <c r="H158" s="4" t="n">
        <v>66.56</v>
      </c>
      <c r="I158" s="4" t="n">
        <v>61.34</v>
      </c>
      <c r="J158" s="0" t="n">
        <v>61</v>
      </c>
      <c r="K158" s="3" t="s">
        <v>24</v>
      </c>
      <c r="L158" s="0" t="str">
        <f aca="false">IF(D158="","",IF(D158-C158&lt;0,"",D158-C158))</f>
        <v/>
      </c>
      <c r="M158" s="4" t="n">
        <f aca="false">G158*I158</f>
        <v>117343.42</v>
      </c>
      <c r="N158" s="5" t="n">
        <f aca="false">IF(J158="","",J158/G158*100)</f>
        <v>3.18870883429169</v>
      </c>
      <c r="O158" s="5" t="n">
        <f aca="false">(H158-I158)/H158*100</f>
        <v>7.84254807692308</v>
      </c>
      <c r="P158" s="3" t="n">
        <f aca="false">IF(OR(F158="Delivered",F158="Partially Delivered"),1,0)</f>
        <v>0</v>
      </c>
      <c r="Q158" s="3" t="n">
        <f aca="false">IF(F158="Cancelled",1,0)</f>
        <v>1</v>
      </c>
      <c r="R158" s="3" t="n">
        <f aca="false">IF(K158="Yes",1,0)</f>
        <v>1</v>
      </c>
    </row>
    <row r="159" customFormat="false" ht="15" hidden="false" customHeight="false" outlineLevel="0" collapsed="false">
      <c r="A159" s="0" t="s">
        <v>426</v>
      </c>
      <c r="B159" s="0" t="s">
        <v>36</v>
      </c>
      <c r="C159" s="2" t="s">
        <v>27</v>
      </c>
      <c r="D159" s="2" t="s">
        <v>427</v>
      </c>
      <c r="E159" s="3" t="s">
        <v>71</v>
      </c>
      <c r="F159" s="3" t="s">
        <v>29</v>
      </c>
      <c r="G159" s="0" t="n">
        <v>829</v>
      </c>
      <c r="H159" s="4" t="n">
        <v>45.98</v>
      </c>
      <c r="I159" s="4" t="n">
        <v>40.39</v>
      </c>
      <c r="K159" s="3" t="s">
        <v>24</v>
      </c>
      <c r="L159" s="3" t="n">
        <f aca="false">IF(D159="","",IF(D159-C159&lt;0,"",D159-C159))</f>
        <v>5</v>
      </c>
      <c r="M159" s="4" t="n">
        <f aca="false">G159*I159</f>
        <v>33483.31</v>
      </c>
      <c r="N159" s="5" t="str">
        <f aca="false">IF(J159="","",J159/G159*100)</f>
        <v/>
      </c>
      <c r="O159" s="5" t="n">
        <f aca="false">(H159-I159)/H159*100</f>
        <v>12.1574597651153</v>
      </c>
      <c r="P159" s="3" t="n">
        <f aca="false">IF(OR(F159="Delivered",F159="Partially Delivered"),1,0)</f>
        <v>1</v>
      </c>
      <c r="Q159" s="3" t="n">
        <f aca="false">IF(F159="Cancelled",1,0)</f>
        <v>0</v>
      </c>
      <c r="R159" s="3" t="n">
        <f aca="false">IF(K159="Yes",1,0)</f>
        <v>1</v>
      </c>
    </row>
    <row r="160" customFormat="false" ht="15" hidden="false" customHeight="false" outlineLevel="0" collapsed="false">
      <c r="A160" s="0" t="s">
        <v>428</v>
      </c>
      <c r="B160" s="0" t="s">
        <v>26</v>
      </c>
      <c r="C160" s="2" t="s">
        <v>38</v>
      </c>
      <c r="D160" s="2" t="s">
        <v>429</v>
      </c>
      <c r="E160" s="3" t="s">
        <v>43</v>
      </c>
      <c r="F160" s="3" t="s">
        <v>29</v>
      </c>
      <c r="G160" s="0" t="n">
        <v>979</v>
      </c>
      <c r="H160" s="4" t="n">
        <v>51.59</v>
      </c>
      <c r="I160" s="4" t="n">
        <v>49.69</v>
      </c>
      <c r="J160" s="0" t="n">
        <v>148</v>
      </c>
      <c r="K160" s="3" t="s">
        <v>24</v>
      </c>
      <c r="L160" s="3" t="n">
        <f aca="false">IF(D160="","",IF(D160-C160&lt;0,"",D160-C160))</f>
        <v>16</v>
      </c>
      <c r="M160" s="4" t="n">
        <f aca="false">G160*I160</f>
        <v>48646.51</v>
      </c>
      <c r="N160" s="5" t="n">
        <f aca="false">IF(J160="","",J160/G160*100)</f>
        <v>15.1174668028601</v>
      </c>
      <c r="O160" s="5" t="n">
        <f aca="false">(H160-I160)/H160*100</f>
        <v>3.68288427989922</v>
      </c>
      <c r="P160" s="3" t="n">
        <f aca="false">IF(OR(F160="Delivered",F160="Partially Delivered"),1,0)</f>
        <v>1</v>
      </c>
      <c r="Q160" s="3" t="n">
        <f aca="false">IF(F160="Cancelled",1,0)</f>
        <v>0</v>
      </c>
      <c r="R160" s="3" t="n">
        <f aca="false">IF(K160="Yes",1,0)</f>
        <v>1</v>
      </c>
    </row>
    <row r="161" customFormat="false" ht="15" hidden="false" customHeight="false" outlineLevel="0" collapsed="false">
      <c r="A161" s="0" t="s">
        <v>430</v>
      </c>
      <c r="B161" s="0" t="s">
        <v>46</v>
      </c>
      <c r="C161" s="2" t="s">
        <v>431</v>
      </c>
      <c r="D161" s="2" t="s">
        <v>432</v>
      </c>
      <c r="E161" s="3" t="s">
        <v>71</v>
      </c>
      <c r="F161" s="3" t="s">
        <v>58</v>
      </c>
      <c r="G161" s="0" t="n">
        <v>1106</v>
      </c>
      <c r="H161" s="4" t="n">
        <v>97.77</v>
      </c>
      <c r="I161" s="4" t="n">
        <v>90.45</v>
      </c>
      <c r="J161" s="0" t="n">
        <v>31</v>
      </c>
      <c r="K161" s="3" t="s">
        <v>24</v>
      </c>
      <c r="L161" s="3" t="n">
        <f aca="false">IF(D161="","",IF(D161-C161&lt;0,"",D161-C161))</f>
        <v>18</v>
      </c>
      <c r="M161" s="4" t="n">
        <f aca="false">G161*I161</f>
        <v>100037.7</v>
      </c>
      <c r="N161" s="5" t="n">
        <f aca="false">IF(J161="","",J161/G161*100)</f>
        <v>2.80289330922242</v>
      </c>
      <c r="O161" s="5" t="n">
        <f aca="false">(H161-I161)/H161*100</f>
        <v>7.48695918993556</v>
      </c>
      <c r="P161" s="3" t="n">
        <f aca="false">IF(OR(F161="Delivered",F161="Partially Delivered"),1,0)</f>
        <v>1</v>
      </c>
      <c r="Q161" s="3" t="n">
        <f aca="false">IF(F161="Cancelled",1,0)</f>
        <v>0</v>
      </c>
      <c r="R161" s="3" t="n">
        <f aca="false">IF(K161="Yes",1,0)</f>
        <v>1</v>
      </c>
    </row>
    <row r="162" customFormat="false" ht="15" hidden="false" customHeight="false" outlineLevel="0" collapsed="false">
      <c r="A162" s="0" t="s">
        <v>433</v>
      </c>
      <c r="B162" s="0" t="s">
        <v>26</v>
      </c>
      <c r="C162" s="2" t="s">
        <v>434</v>
      </c>
      <c r="D162" s="2" t="s">
        <v>435</v>
      </c>
      <c r="E162" s="3" t="s">
        <v>22</v>
      </c>
      <c r="F162" s="3" t="s">
        <v>62</v>
      </c>
      <c r="G162" s="0" t="n">
        <v>1121</v>
      </c>
      <c r="H162" s="4" t="n">
        <v>42.38</v>
      </c>
      <c r="I162" s="4" t="n">
        <v>38.34</v>
      </c>
      <c r="J162" s="0" t="n">
        <v>152</v>
      </c>
      <c r="K162" s="3" t="s">
        <v>24</v>
      </c>
      <c r="L162" s="3" t="n">
        <f aca="false">IF(D162="","",IF(D162-C162&lt;0,"",D162-C162))</f>
        <v>13</v>
      </c>
      <c r="M162" s="4" t="n">
        <f aca="false">G162*I162</f>
        <v>42979.14</v>
      </c>
      <c r="N162" s="5" t="n">
        <f aca="false">IF(J162="","",J162/G162*100)</f>
        <v>13.5593220338983</v>
      </c>
      <c r="O162" s="5" t="n">
        <f aca="false">(H162-I162)/H162*100</f>
        <v>9.5327984898537</v>
      </c>
      <c r="P162" s="3" t="n">
        <f aca="false">IF(OR(F162="Delivered",F162="Partially Delivered"),1,0)</f>
        <v>0</v>
      </c>
      <c r="Q162" s="3" t="n">
        <f aca="false">IF(F162="Cancelled",1,0)</f>
        <v>0</v>
      </c>
      <c r="R162" s="3" t="n">
        <f aca="false">IF(K162="Yes",1,0)</f>
        <v>1</v>
      </c>
    </row>
    <row r="163" customFormat="false" ht="15" hidden="false" customHeight="false" outlineLevel="0" collapsed="false">
      <c r="A163" s="0" t="s">
        <v>436</v>
      </c>
      <c r="B163" s="0" t="s">
        <v>19</v>
      </c>
      <c r="C163" s="2" t="s">
        <v>228</v>
      </c>
      <c r="D163" s="2" t="s">
        <v>437</v>
      </c>
      <c r="E163" s="3" t="s">
        <v>22</v>
      </c>
      <c r="F163" s="3" t="s">
        <v>29</v>
      </c>
      <c r="G163" s="0" t="n">
        <v>552</v>
      </c>
      <c r="H163" s="4" t="n">
        <v>60.48</v>
      </c>
      <c r="I163" s="4" t="n">
        <v>56.78</v>
      </c>
      <c r="J163" s="0" t="n">
        <v>10</v>
      </c>
      <c r="K163" s="3" t="s">
        <v>24</v>
      </c>
      <c r="L163" s="3" t="n">
        <f aca="false">IF(D163="","",IF(D163-C163&lt;0,"",D163-C163))</f>
        <v>11</v>
      </c>
      <c r="M163" s="4" t="n">
        <f aca="false">G163*I163</f>
        <v>31342.56</v>
      </c>
      <c r="N163" s="5" t="n">
        <f aca="false">IF(J163="","",J163/G163*100)</f>
        <v>1.81159420289855</v>
      </c>
      <c r="O163" s="5" t="n">
        <f aca="false">(H163-I163)/H163*100</f>
        <v>6.11772486772486</v>
      </c>
      <c r="P163" s="3" t="n">
        <f aca="false">IF(OR(F163="Delivered",F163="Partially Delivered"),1,0)</f>
        <v>1</v>
      </c>
      <c r="Q163" s="3" t="n">
        <f aca="false">IF(F163="Cancelled",1,0)</f>
        <v>0</v>
      </c>
      <c r="R163" s="3" t="n">
        <f aca="false">IF(K163="Yes",1,0)</f>
        <v>1</v>
      </c>
    </row>
    <row r="164" customFormat="false" ht="15" hidden="false" customHeight="false" outlineLevel="0" collapsed="false">
      <c r="A164" s="0" t="s">
        <v>438</v>
      </c>
      <c r="B164" s="0" t="s">
        <v>31</v>
      </c>
      <c r="C164" s="2" t="s">
        <v>439</v>
      </c>
      <c r="D164" s="2" t="s">
        <v>410</v>
      </c>
      <c r="E164" s="3" t="s">
        <v>39</v>
      </c>
      <c r="F164" s="3" t="s">
        <v>29</v>
      </c>
      <c r="G164" s="0" t="n">
        <v>456</v>
      </c>
      <c r="H164" s="4" t="n">
        <v>80.53</v>
      </c>
      <c r="I164" s="4" t="n">
        <v>77.86</v>
      </c>
      <c r="J164" s="0" t="n">
        <v>26</v>
      </c>
      <c r="K164" s="3" t="s">
        <v>24</v>
      </c>
      <c r="L164" s="3" t="n">
        <f aca="false">IF(D164="","",IF(D164-C164&lt;0,"",D164-C164))</f>
        <v>8</v>
      </c>
      <c r="M164" s="4" t="n">
        <f aca="false">G164*I164</f>
        <v>35504.16</v>
      </c>
      <c r="N164" s="5" t="n">
        <f aca="false">IF(J164="","",J164/G164*100)</f>
        <v>5.70175438596491</v>
      </c>
      <c r="O164" s="5" t="n">
        <f aca="false">(H164-I164)/H164*100</f>
        <v>3.31553458338508</v>
      </c>
      <c r="P164" s="3" t="n">
        <f aca="false">IF(OR(F164="Delivered",F164="Partially Delivered"),1,0)</f>
        <v>1</v>
      </c>
      <c r="Q164" s="3" t="n">
        <f aca="false">IF(F164="Cancelled",1,0)</f>
        <v>0</v>
      </c>
      <c r="R164" s="3" t="n">
        <f aca="false">IF(K164="Yes",1,0)</f>
        <v>1</v>
      </c>
    </row>
    <row r="165" customFormat="false" ht="15" hidden="false" customHeight="false" outlineLevel="0" collapsed="false">
      <c r="A165" s="0" t="s">
        <v>440</v>
      </c>
      <c r="B165" s="0" t="s">
        <v>26</v>
      </c>
      <c r="C165" s="2" t="s">
        <v>348</v>
      </c>
      <c r="D165" s="2" t="s">
        <v>441</v>
      </c>
      <c r="E165" s="3" t="s">
        <v>39</v>
      </c>
      <c r="F165" s="3" t="s">
        <v>29</v>
      </c>
      <c r="G165" s="0" t="n">
        <v>1647</v>
      </c>
      <c r="H165" s="4" t="n">
        <v>47.52</v>
      </c>
      <c r="I165" s="4" t="n">
        <v>44.92</v>
      </c>
      <c r="K165" s="3" t="s">
        <v>24</v>
      </c>
      <c r="L165" s="3" t="n">
        <f aca="false">IF(D165="","",IF(D165-C165&lt;0,"",D165-C165))</f>
        <v>8</v>
      </c>
      <c r="M165" s="4" t="n">
        <f aca="false">G165*I165</f>
        <v>73983.24</v>
      </c>
      <c r="N165" s="5" t="str">
        <f aca="false">IF(J165="","",J165/G165*100)</f>
        <v/>
      </c>
      <c r="O165" s="5" t="n">
        <f aca="false">(H165-I165)/H165*100</f>
        <v>5.47138047138047</v>
      </c>
      <c r="P165" s="3" t="n">
        <f aca="false">IF(OR(F165="Delivered",F165="Partially Delivered"),1,0)</f>
        <v>1</v>
      </c>
      <c r="Q165" s="3" t="n">
        <f aca="false">IF(F165="Cancelled",1,0)</f>
        <v>0</v>
      </c>
      <c r="R165" s="3" t="n">
        <f aca="false">IF(K165="Yes",1,0)</f>
        <v>1</v>
      </c>
    </row>
    <row r="166" customFormat="false" ht="15" hidden="false" customHeight="false" outlineLevel="0" collapsed="false">
      <c r="A166" s="0" t="s">
        <v>442</v>
      </c>
      <c r="B166" s="0" t="s">
        <v>46</v>
      </c>
      <c r="C166" s="2" t="s">
        <v>443</v>
      </c>
      <c r="D166" s="2" t="s">
        <v>325</v>
      </c>
      <c r="E166" s="3" t="s">
        <v>71</v>
      </c>
      <c r="F166" s="3" t="s">
        <v>62</v>
      </c>
      <c r="G166" s="0" t="n">
        <v>1801</v>
      </c>
      <c r="H166" s="4" t="n">
        <v>71.27</v>
      </c>
      <c r="I166" s="4" t="n">
        <v>61.24</v>
      </c>
      <c r="J166" s="0" t="n">
        <v>43</v>
      </c>
      <c r="K166" s="3" t="s">
        <v>24</v>
      </c>
      <c r="L166" s="3" t="n">
        <f aca="false">IF(D166="","",IF(D166-C166&lt;0,"",D166-C166))</f>
        <v>14</v>
      </c>
      <c r="M166" s="4" t="n">
        <f aca="false">G166*I166</f>
        <v>110293.24</v>
      </c>
      <c r="N166" s="5" t="n">
        <f aca="false">IF(J166="","",J166/G166*100)</f>
        <v>2.38756246529706</v>
      </c>
      <c r="O166" s="5" t="n">
        <f aca="false">(H166-I166)/H166*100</f>
        <v>14.0732425985688</v>
      </c>
      <c r="P166" s="3" t="n">
        <f aca="false">IF(OR(F166="Delivered",F166="Partially Delivered"),1,0)</f>
        <v>0</v>
      </c>
      <c r="Q166" s="3" t="n">
        <f aca="false">IF(F166="Cancelled",1,0)</f>
        <v>0</v>
      </c>
      <c r="R166" s="3" t="n">
        <f aca="false">IF(K166="Yes",1,0)</f>
        <v>1</v>
      </c>
    </row>
    <row r="167" customFormat="false" ht="15" hidden="false" customHeight="false" outlineLevel="0" collapsed="false">
      <c r="A167" s="0" t="s">
        <v>444</v>
      </c>
      <c r="B167" s="0" t="s">
        <v>31</v>
      </c>
      <c r="C167" s="2" t="s">
        <v>445</v>
      </c>
      <c r="D167" s="2" t="s">
        <v>446</v>
      </c>
      <c r="E167" s="3" t="s">
        <v>71</v>
      </c>
      <c r="F167" s="3" t="s">
        <v>29</v>
      </c>
      <c r="G167" s="0" t="n">
        <v>854</v>
      </c>
      <c r="H167" s="4" t="n">
        <v>90.24</v>
      </c>
      <c r="I167" s="4" t="n">
        <v>85.53</v>
      </c>
      <c r="K167" s="3" t="s">
        <v>24</v>
      </c>
      <c r="L167" s="3" t="n">
        <f aca="false">IF(D167="","",IF(D167-C167&lt;0,"",D167-C167))</f>
        <v>16</v>
      </c>
      <c r="M167" s="4" t="n">
        <f aca="false">G167*I167</f>
        <v>73042.62</v>
      </c>
      <c r="N167" s="5" t="str">
        <f aca="false">IF(J167="","",J167/G167*100)</f>
        <v/>
      </c>
      <c r="O167" s="5" t="n">
        <f aca="false">(H167-I167)/H167*100</f>
        <v>5.21941489361702</v>
      </c>
      <c r="P167" s="3" t="n">
        <f aca="false">IF(OR(F167="Delivered",F167="Partially Delivered"),1,0)</f>
        <v>1</v>
      </c>
      <c r="Q167" s="3" t="n">
        <f aca="false">IF(F167="Cancelled",1,0)</f>
        <v>0</v>
      </c>
      <c r="R167" s="3" t="n">
        <f aca="false">IF(K167="Yes",1,0)</f>
        <v>1</v>
      </c>
    </row>
    <row r="168" customFormat="false" ht="15" hidden="false" customHeight="false" outlineLevel="0" collapsed="false">
      <c r="A168" s="0" t="s">
        <v>447</v>
      </c>
      <c r="B168" s="0" t="s">
        <v>26</v>
      </c>
      <c r="C168" s="2" t="s">
        <v>448</v>
      </c>
      <c r="D168" s="2" t="s">
        <v>449</v>
      </c>
      <c r="E168" s="3" t="s">
        <v>71</v>
      </c>
      <c r="F168" s="3" t="s">
        <v>29</v>
      </c>
      <c r="G168" s="0" t="n">
        <v>148</v>
      </c>
      <c r="H168" s="4" t="n">
        <v>103.57</v>
      </c>
      <c r="I168" s="4" t="n">
        <v>98.62</v>
      </c>
      <c r="J168" s="0" t="n">
        <v>23</v>
      </c>
      <c r="K168" s="3" t="s">
        <v>44</v>
      </c>
      <c r="L168" s="3" t="n">
        <f aca="false">IF(D168="","",IF(D168-C168&lt;0,"",D168-C168))</f>
        <v>13</v>
      </c>
      <c r="M168" s="4" t="n">
        <f aca="false">G168*I168</f>
        <v>14595.76</v>
      </c>
      <c r="N168" s="5" t="n">
        <f aca="false">IF(J168="","",J168/G168*100)</f>
        <v>15.5405405405405</v>
      </c>
      <c r="O168" s="5" t="n">
        <f aca="false">(H168-I168)/H168*100</f>
        <v>4.77937626725885</v>
      </c>
      <c r="P168" s="3" t="n">
        <f aca="false">IF(OR(F168="Delivered",F168="Partially Delivered"),1,0)</f>
        <v>1</v>
      </c>
      <c r="Q168" s="3" t="n">
        <f aca="false">IF(F168="Cancelled",1,0)</f>
        <v>0</v>
      </c>
      <c r="R168" s="3" t="n">
        <f aca="false">IF(K168="Yes",1,0)</f>
        <v>0</v>
      </c>
    </row>
    <row r="169" customFormat="false" ht="15" hidden="false" customHeight="false" outlineLevel="0" collapsed="false">
      <c r="A169" s="0" t="s">
        <v>450</v>
      </c>
      <c r="B169" s="0" t="s">
        <v>26</v>
      </c>
      <c r="C169" s="2" t="s">
        <v>451</v>
      </c>
      <c r="D169" s="2" t="s">
        <v>452</v>
      </c>
      <c r="E169" s="3" t="s">
        <v>34</v>
      </c>
      <c r="F169" s="3" t="s">
        <v>29</v>
      </c>
      <c r="G169" s="0" t="n">
        <v>733</v>
      </c>
      <c r="H169" s="4" t="n">
        <v>23.59</v>
      </c>
      <c r="I169" s="4" t="n">
        <v>22.85</v>
      </c>
      <c r="J169" s="0" t="n">
        <v>92</v>
      </c>
      <c r="K169" s="3" t="s">
        <v>24</v>
      </c>
      <c r="L169" s="3" t="n">
        <f aca="false">IF(D169="","",IF(D169-C169&lt;0,"",D169-C169))</f>
        <v>5</v>
      </c>
      <c r="M169" s="4" t="n">
        <f aca="false">G169*I169</f>
        <v>16749.05</v>
      </c>
      <c r="N169" s="5" t="n">
        <f aca="false">IF(J169="","",J169/G169*100)</f>
        <v>12.5511596180082</v>
      </c>
      <c r="O169" s="5" t="n">
        <f aca="false">(H169-I169)/H169*100</f>
        <v>3.13692242475625</v>
      </c>
      <c r="P169" s="3" t="n">
        <f aca="false">IF(OR(F169="Delivered",F169="Partially Delivered"),1,0)</f>
        <v>1</v>
      </c>
      <c r="Q169" s="3" t="n">
        <f aca="false">IF(F169="Cancelled",1,0)</f>
        <v>0</v>
      </c>
      <c r="R169" s="3" t="n">
        <f aca="false">IF(K169="Yes",1,0)</f>
        <v>1</v>
      </c>
    </row>
    <row r="170" customFormat="false" ht="15" hidden="false" customHeight="false" outlineLevel="0" collapsed="false">
      <c r="A170" s="0" t="s">
        <v>453</v>
      </c>
      <c r="B170" s="0" t="s">
        <v>36</v>
      </c>
      <c r="C170" s="2" t="s">
        <v>454</v>
      </c>
      <c r="D170" s="2" t="s">
        <v>382</v>
      </c>
      <c r="E170" s="3" t="s">
        <v>43</v>
      </c>
      <c r="F170" s="3" t="s">
        <v>29</v>
      </c>
      <c r="G170" s="0" t="n">
        <v>1945</v>
      </c>
      <c r="H170" s="4" t="n">
        <v>103.2</v>
      </c>
      <c r="I170" s="4" t="n">
        <v>88.56</v>
      </c>
      <c r="K170" s="3" t="s">
        <v>24</v>
      </c>
      <c r="L170" s="3" t="n">
        <f aca="false">IF(D170="","",IF(D170-C170&lt;0,"",D170-C170))</f>
        <v>2</v>
      </c>
      <c r="M170" s="4" t="n">
        <f aca="false">G170*I170</f>
        <v>172249.2</v>
      </c>
      <c r="N170" s="5" t="str">
        <f aca="false">IF(J170="","",J170/G170*100)</f>
        <v/>
      </c>
      <c r="O170" s="5" t="n">
        <f aca="false">(H170-I170)/H170*100</f>
        <v>14.1860465116279</v>
      </c>
      <c r="P170" s="3" t="n">
        <f aca="false">IF(OR(F170="Delivered",F170="Partially Delivered"),1,0)</f>
        <v>1</v>
      </c>
      <c r="Q170" s="3" t="n">
        <f aca="false">IF(F170="Cancelled",1,0)</f>
        <v>0</v>
      </c>
      <c r="R170" s="3" t="n">
        <f aca="false">IF(K170="Yes",1,0)</f>
        <v>1</v>
      </c>
    </row>
    <row r="171" customFormat="false" ht="15" hidden="false" customHeight="false" outlineLevel="0" collapsed="false">
      <c r="A171" s="0" t="s">
        <v>455</v>
      </c>
      <c r="B171" s="0" t="s">
        <v>31</v>
      </c>
      <c r="C171" s="2" t="s">
        <v>456</v>
      </c>
      <c r="D171" s="2" t="s">
        <v>457</v>
      </c>
      <c r="E171" s="3" t="s">
        <v>43</v>
      </c>
      <c r="F171" s="3" t="s">
        <v>29</v>
      </c>
      <c r="G171" s="0" t="n">
        <v>775</v>
      </c>
      <c r="H171" s="4" t="n">
        <v>57</v>
      </c>
      <c r="I171" s="4" t="n">
        <v>49.14</v>
      </c>
      <c r="J171" s="0" t="n">
        <v>48</v>
      </c>
      <c r="K171" s="3" t="s">
        <v>24</v>
      </c>
      <c r="L171" s="3" t="n">
        <f aca="false">IF(D171="","",IF(D171-C171&lt;0,"",D171-C171))</f>
        <v>19</v>
      </c>
      <c r="M171" s="4" t="n">
        <f aca="false">G171*I171</f>
        <v>38083.5</v>
      </c>
      <c r="N171" s="5" t="n">
        <f aca="false">IF(J171="","",J171/G171*100)</f>
        <v>6.19354838709677</v>
      </c>
      <c r="O171" s="5" t="n">
        <f aca="false">(H171-I171)/H171*100</f>
        <v>13.7894736842105</v>
      </c>
      <c r="P171" s="3" t="n">
        <f aca="false">IF(OR(F171="Delivered",F171="Partially Delivered"),1,0)</f>
        <v>1</v>
      </c>
      <c r="Q171" s="3" t="n">
        <f aca="false">IF(F171="Cancelled",1,0)</f>
        <v>0</v>
      </c>
      <c r="R171" s="3" t="n">
        <f aca="false">IF(K171="Yes",1,0)</f>
        <v>1</v>
      </c>
    </row>
    <row r="172" customFormat="false" ht="15" hidden="false" customHeight="false" outlineLevel="0" collapsed="false">
      <c r="A172" s="0" t="s">
        <v>458</v>
      </c>
      <c r="B172" s="0" t="s">
        <v>26</v>
      </c>
      <c r="C172" s="2" t="s">
        <v>20</v>
      </c>
      <c r="D172" s="2" t="s">
        <v>329</v>
      </c>
      <c r="E172" s="3" t="s">
        <v>39</v>
      </c>
      <c r="F172" s="3" t="s">
        <v>29</v>
      </c>
      <c r="G172" s="0" t="n">
        <v>1620</v>
      </c>
      <c r="H172" s="4" t="n">
        <v>36.73</v>
      </c>
      <c r="I172" s="4" t="n">
        <v>33.45</v>
      </c>
      <c r="J172" s="0" t="n">
        <v>235</v>
      </c>
      <c r="K172" s="3" t="s">
        <v>44</v>
      </c>
      <c r="L172" s="3" t="n">
        <f aca="false">IF(D172="","",IF(D172-C172&lt;0,"",D172-C172))</f>
        <v>4</v>
      </c>
      <c r="M172" s="4" t="n">
        <f aca="false">G172*I172</f>
        <v>54189</v>
      </c>
      <c r="N172" s="5" t="n">
        <f aca="false">IF(J172="","",J172/G172*100)</f>
        <v>14.5061728395062</v>
      </c>
      <c r="O172" s="5" t="n">
        <f aca="false">(H172-I172)/H172*100</f>
        <v>8.93002994827115</v>
      </c>
      <c r="P172" s="3" t="n">
        <f aca="false">IF(OR(F172="Delivered",F172="Partially Delivered"),1,0)</f>
        <v>1</v>
      </c>
      <c r="Q172" s="3" t="n">
        <f aca="false">IF(F172="Cancelled",1,0)</f>
        <v>0</v>
      </c>
      <c r="R172" s="3" t="n">
        <f aca="false">IF(K172="Yes",1,0)</f>
        <v>0</v>
      </c>
    </row>
    <row r="173" customFormat="false" ht="15" hidden="false" customHeight="false" outlineLevel="0" collapsed="false">
      <c r="A173" s="0" t="s">
        <v>459</v>
      </c>
      <c r="B173" s="0" t="s">
        <v>36</v>
      </c>
      <c r="C173" s="2" t="s">
        <v>448</v>
      </c>
      <c r="D173" s="2" t="s">
        <v>460</v>
      </c>
      <c r="E173" s="3" t="s">
        <v>22</v>
      </c>
      <c r="F173" s="3" t="s">
        <v>29</v>
      </c>
      <c r="G173" s="0" t="n">
        <v>1010</v>
      </c>
      <c r="H173" s="4" t="n">
        <v>55.68</v>
      </c>
      <c r="I173" s="4" t="n">
        <v>50.86</v>
      </c>
      <c r="K173" s="3" t="s">
        <v>24</v>
      </c>
      <c r="L173" s="3" t="n">
        <f aca="false">IF(D173="","",IF(D173-C173&lt;0,"",D173-C173))</f>
        <v>15</v>
      </c>
      <c r="M173" s="4" t="n">
        <f aca="false">G173*I173</f>
        <v>51368.6</v>
      </c>
      <c r="N173" s="5" t="str">
        <f aca="false">IF(J173="","",J173/G173*100)</f>
        <v/>
      </c>
      <c r="O173" s="5" t="n">
        <f aca="false">(H173-I173)/H173*100</f>
        <v>8.6566091954023</v>
      </c>
      <c r="P173" s="3" t="n">
        <f aca="false">IF(OR(F173="Delivered",F173="Partially Delivered"),1,0)</f>
        <v>1</v>
      </c>
      <c r="Q173" s="3" t="n">
        <f aca="false">IF(F173="Cancelled",1,0)</f>
        <v>0</v>
      </c>
      <c r="R173" s="3" t="n">
        <f aca="false">IF(K173="Yes",1,0)</f>
        <v>1</v>
      </c>
    </row>
    <row r="174" customFormat="false" ht="15" hidden="false" customHeight="false" outlineLevel="0" collapsed="false">
      <c r="A174" s="0" t="s">
        <v>461</v>
      </c>
      <c r="B174" s="0" t="s">
        <v>46</v>
      </c>
      <c r="C174" s="2" t="s">
        <v>260</v>
      </c>
      <c r="D174" s="2" t="s">
        <v>190</v>
      </c>
      <c r="E174" s="3" t="s">
        <v>22</v>
      </c>
      <c r="F174" s="3" t="s">
        <v>29</v>
      </c>
      <c r="G174" s="0" t="n">
        <v>1812</v>
      </c>
      <c r="H174" s="4" t="n">
        <v>108.02</v>
      </c>
      <c r="I174" s="4" t="n">
        <v>101.02</v>
      </c>
      <c r="J174" s="0" t="n">
        <v>51</v>
      </c>
      <c r="K174" s="3" t="s">
        <v>24</v>
      </c>
      <c r="L174" s="3" t="n">
        <f aca="false">IF(D174="","",IF(D174-C174&lt;0,"",D174-C174))</f>
        <v>15</v>
      </c>
      <c r="M174" s="4" t="n">
        <f aca="false">G174*I174</f>
        <v>183048.24</v>
      </c>
      <c r="N174" s="5" t="n">
        <f aca="false">IF(J174="","",J174/G174*100)</f>
        <v>2.81456953642384</v>
      </c>
      <c r="O174" s="5" t="n">
        <f aca="false">(H174-I174)/H174*100</f>
        <v>6.48028142936493</v>
      </c>
      <c r="P174" s="3" t="n">
        <f aca="false">IF(OR(F174="Delivered",F174="Partially Delivered"),1,0)</f>
        <v>1</v>
      </c>
      <c r="Q174" s="3" t="n">
        <f aca="false">IF(F174="Cancelled",1,0)</f>
        <v>0</v>
      </c>
      <c r="R174" s="3" t="n">
        <f aca="false">IF(K174="Yes",1,0)</f>
        <v>1</v>
      </c>
    </row>
    <row r="175" customFormat="false" ht="15" hidden="false" customHeight="false" outlineLevel="0" collapsed="false">
      <c r="A175" s="0" t="s">
        <v>462</v>
      </c>
      <c r="B175" s="0" t="s">
        <v>26</v>
      </c>
      <c r="C175" s="2" t="s">
        <v>99</v>
      </c>
      <c r="D175" s="2" t="s">
        <v>463</v>
      </c>
      <c r="E175" s="3" t="s">
        <v>22</v>
      </c>
      <c r="F175" s="3" t="s">
        <v>29</v>
      </c>
      <c r="G175" s="0" t="n">
        <v>662</v>
      </c>
      <c r="H175" s="4" t="n">
        <v>55.97</v>
      </c>
      <c r="I175" s="4" t="n">
        <v>50</v>
      </c>
      <c r="J175" s="0" t="n">
        <v>100</v>
      </c>
      <c r="K175" s="3" t="s">
        <v>24</v>
      </c>
      <c r="L175" s="3" t="n">
        <f aca="false">IF(D175="","",IF(D175-C175&lt;0,"",D175-C175))</f>
        <v>5</v>
      </c>
      <c r="M175" s="4" t="n">
        <f aca="false">G175*I175</f>
        <v>33100</v>
      </c>
      <c r="N175" s="5" t="n">
        <f aca="false">IF(J175="","",J175/G175*100)</f>
        <v>15.1057401812689</v>
      </c>
      <c r="O175" s="5" t="n">
        <f aca="false">(H175-I175)/H175*100</f>
        <v>10.6664284438092</v>
      </c>
      <c r="P175" s="3" t="n">
        <f aca="false">IF(OR(F175="Delivered",F175="Partially Delivered"),1,0)</f>
        <v>1</v>
      </c>
      <c r="Q175" s="3" t="n">
        <f aca="false">IF(F175="Cancelled",1,0)</f>
        <v>0</v>
      </c>
      <c r="R175" s="3" t="n">
        <f aca="false">IF(K175="Yes",1,0)</f>
        <v>1</v>
      </c>
    </row>
    <row r="176" customFormat="false" ht="15" hidden="false" customHeight="false" outlineLevel="0" collapsed="false">
      <c r="A176" s="0" t="s">
        <v>464</v>
      </c>
      <c r="B176" s="0" t="s">
        <v>36</v>
      </c>
      <c r="C176" s="2" t="s">
        <v>379</v>
      </c>
      <c r="D176" s="2" t="s">
        <v>434</v>
      </c>
      <c r="E176" s="3" t="s">
        <v>22</v>
      </c>
      <c r="F176" s="3" t="s">
        <v>62</v>
      </c>
      <c r="G176" s="0" t="n">
        <v>1535</v>
      </c>
      <c r="H176" s="4" t="n">
        <v>40.58</v>
      </c>
      <c r="I176" s="4" t="n">
        <v>38.71</v>
      </c>
      <c r="J176" s="0" t="n">
        <v>165</v>
      </c>
      <c r="K176" s="3" t="s">
        <v>24</v>
      </c>
      <c r="L176" s="3" t="n">
        <f aca="false">IF(D176="","",IF(D176-C176&lt;0,"",D176-C176))</f>
        <v>5</v>
      </c>
      <c r="M176" s="4" t="n">
        <f aca="false">G176*I176</f>
        <v>59419.85</v>
      </c>
      <c r="N176" s="5" t="n">
        <f aca="false">IF(J176="","",J176/G176*100)</f>
        <v>10.7491856677524</v>
      </c>
      <c r="O176" s="5" t="n">
        <f aca="false">(H176-I176)/H176*100</f>
        <v>4.60818137013307</v>
      </c>
      <c r="P176" s="3" t="n">
        <f aca="false">IF(OR(F176="Delivered",F176="Partially Delivered"),1,0)</f>
        <v>0</v>
      </c>
      <c r="Q176" s="3" t="n">
        <f aca="false">IF(F176="Cancelled",1,0)</f>
        <v>0</v>
      </c>
      <c r="R176" s="3" t="n">
        <f aca="false">IF(K176="Yes",1,0)</f>
        <v>1</v>
      </c>
    </row>
    <row r="177" customFormat="false" ht="15" hidden="false" customHeight="false" outlineLevel="0" collapsed="false">
      <c r="A177" s="0" t="s">
        <v>465</v>
      </c>
      <c r="B177" s="0" t="s">
        <v>36</v>
      </c>
      <c r="C177" s="2" t="s">
        <v>466</v>
      </c>
      <c r="D177" s="2" t="s">
        <v>467</v>
      </c>
      <c r="E177" s="3" t="s">
        <v>43</v>
      </c>
      <c r="F177" s="3" t="s">
        <v>29</v>
      </c>
      <c r="G177" s="0" t="n">
        <v>692</v>
      </c>
      <c r="H177" s="4" t="n">
        <v>71.03</v>
      </c>
      <c r="I177" s="4" t="n">
        <v>67.74</v>
      </c>
      <c r="J177" s="0" t="n">
        <v>70</v>
      </c>
      <c r="K177" s="3" t="s">
        <v>24</v>
      </c>
      <c r="L177" s="3" t="n">
        <f aca="false">IF(D177="","",IF(D177-C177&lt;0,"",D177-C177))</f>
        <v>9</v>
      </c>
      <c r="M177" s="4" t="n">
        <f aca="false">G177*I177</f>
        <v>46876.08</v>
      </c>
      <c r="N177" s="5" t="n">
        <f aca="false">IF(J177="","",J177/G177*100)</f>
        <v>10.1156069364162</v>
      </c>
      <c r="O177" s="5" t="n">
        <f aca="false">(H177-I177)/H177*100</f>
        <v>4.63184569900043</v>
      </c>
      <c r="P177" s="3" t="n">
        <f aca="false">IF(OR(F177="Delivered",F177="Partially Delivered"),1,0)</f>
        <v>1</v>
      </c>
      <c r="Q177" s="3" t="n">
        <f aca="false">IF(F177="Cancelled",1,0)</f>
        <v>0</v>
      </c>
      <c r="R177" s="3" t="n">
        <f aca="false">IF(K177="Yes",1,0)</f>
        <v>1</v>
      </c>
    </row>
    <row r="178" customFormat="false" ht="15" hidden="false" customHeight="false" outlineLevel="0" collapsed="false">
      <c r="A178" s="0" t="s">
        <v>468</v>
      </c>
      <c r="B178" s="0" t="s">
        <v>31</v>
      </c>
      <c r="C178" s="2" t="s">
        <v>469</v>
      </c>
      <c r="D178" s="2" t="s">
        <v>470</v>
      </c>
      <c r="E178" s="3" t="s">
        <v>34</v>
      </c>
      <c r="F178" s="3" t="s">
        <v>29</v>
      </c>
      <c r="G178" s="0" t="n">
        <v>1842</v>
      </c>
      <c r="H178" s="4" t="n">
        <v>32.4</v>
      </c>
      <c r="I178" s="4" t="n">
        <v>28.08</v>
      </c>
      <c r="J178" s="0" t="n">
        <v>96</v>
      </c>
      <c r="K178" s="3" t="s">
        <v>24</v>
      </c>
      <c r="L178" s="3" t="n">
        <f aca="false">IF(D178="","",IF(D178-C178&lt;0,"",D178-C178))</f>
        <v>13</v>
      </c>
      <c r="M178" s="4" t="n">
        <f aca="false">G178*I178</f>
        <v>51723.36</v>
      </c>
      <c r="N178" s="5" t="n">
        <f aca="false">IF(J178="","",J178/G178*100)</f>
        <v>5.21172638436482</v>
      </c>
      <c r="O178" s="5" t="n">
        <f aca="false">(H178-I178)/H178*100</f>
        <v>13.3333333333333</v>
      </c>
      <c r="P178" s="3" t="n">
        <f aca="false">IF(OR(F178="Delivered",F178="Partially Delivered"),1,0)</f>
        <v>1</v>
      </c>
      <c r="Q178" s="3" t="n">
        <f aca="false">IF(F178="Cancelled",1,0)</f>
        <v>0</v>
      </c>
      <c r="R178" s="3" t="n">
        <f aca="false">IF(K178="Yes",1,0)</f>
        <v>1</v>
      </c>
    </row>
    <row r="179" customFormat="false" ht="15" hidden="false" customHeight="false" outlineLevel="0" collapsed="false">
      <c r="A179" s="0" t="s">
        <v>471</v>
      </c>
      <c r="B179" s="0" t="s">
        <v>36</v>
      </c>
      <c r="C179" s="2" t="s">
        <v>472</v>
      </c>
      <c r="D179" s="2" t="s">
        <v>473</v>
      </c>
      <c r="E179" s="3" t="s">
        <v>22</v>
      </c>
      <c r="F179" s="3" t="s">
        <v>23</v>
      </c>
      <c r="G179" s="0" t="n">
        <v>1078</v>
      </c>
      <c r="H179" s="4" t="n">
        <v>18.34</v>
      </c>
      <c r="I179" s="4" t="n">
        <v>17.41</v>
      </c>
      <c r="J179" s="0" t="n">
        <v>102</v>
      </c>
      <c r="K179" s="3" t="s">
        <v>24</v>
      </c>
      <c r="L179" s="3" t="n">
        <f aca="false">IF(D179="","",IF(D179-C179&lt;0,"",D179-C179))</f>
        <v>11</v>
      </c>
      <c r="M179" s="4" t="n">
        <f aca="false">G179*I179</f>
        <v>18767.98</v>
      </c>
      <c r="N179" s="5" t="n">
        <f aca="false">IF(J179="","",J179/G179*100)</f>
        <v>9.46196660482375</v>
      </c>
      <c r="O179" s="5" t="n">
        <f aca="false">(H179-I179)/H179*100</f>
        <v>5.07088331515812</v>
      </c>
      <c r="P179" s="3" t="n">
        <f aca="false">IF(OR(F179="Delivered",F179="Partially Delivered"),1,0)</f>
        <v>0</v>
      </c>
      <c r="Q179" s="3" t="n">
        <f aca="false">IF(F179="Cancelled",1,0)</f>
        <v>1</v>
      </c>
      <c r="R179" s="3" t="n">
        <f aca="false">IF(K179="Yes",1,0)</f>
        <v>1</v>
      </c>
    </row>
    <row r="180" customFormat="false" ht="15" hidden="false" customHeight="false" outlineLevel="0" collapsed="false">
      <c r="A180" s="0" t="s">
        <v>474</v>
      </c>
      <c r="B180" s="0" t="s">
        <v>26</v>
      </c>
      <c r="C180" s="2" t="s">
        <v>475</v>
      </c>
      <c r="D180" s="2" t="s">
        <v>476</v>
      </c>
      <c r="E180" s="3" t="s">
        <v>39</v>
      </c>
      <c r="F180" s="3" t="s">
        <v>29</v>
      </c>
      <c r="G180" s="0" t="n">
        <v>1291</v>
      </c>
      <c r="H180" s="4" t="n">
        <v>23.44</v>
      </c>
      <c r="I180" s="4" t="n">
        <v>22.23</v>
      </c>
      <c r="K180" s="3" t="s">
        <v>24</v>
      </c>
      <c r="L180" s="3" t="n">
        <f aca="false">IF(D180="","",IF(D180-C180&lt;0,"",D180-C180))</f>
        <v>18</v>
      </c>
      <c r="M180" s="4" t="n">
        <f aca="false">G180*I180</f>
        <v>28698.93</v>
      </c>
      <c r="N180" s="5" t="str">
        <f aca="false">IF(J180="","",J180/G180*100)</f>
        <v/>
      </c>
      <c r="O180" s="5" t="n">
        <f aca="false">(H180-I180)/H180*100</f>
        <v>5.16211604095564</v>
      </c>
      <c r="P180" s="3" t="n">
        <f aca="false">IF(OR(F180="Delivered",F180="Partially Delivered"),1,0)</f>
        <v>1</v>
      </c>
      <c r="Q180" s="3" t="n">
        <f aca="false">IF(F180="Cancelled",1,0)</f>
        <v>0</v>
      </c>
      <c r="R180" s="3" t="n">
        <f aca="false">IF(K180="Yes",1,0)</f>
        <v>1</v>
      </c>
    </row>
    <row r="181" customFormat="false" ht="15" hidden="false" customHeight="false" outlineLevel="0" collapsed="false">
      <c r="A181" s="0" t="s">
        <v>477</v>
      </c>
      <c r="B181" s="0" t="s">
        <v>19</v>
      </c>
      <c r="C181" s="2" t="s">
        <v>478</v>
      </c>
      <c r="D181" s="2" t="s">
        <v>410</v>
      </c>
      <c r="E181" s="3" t="s">
        <v>71</v>
      </c>
      <c r="F181" s="3" t="s">
        <v>29</v>
      </c>
      <c r="G181" s="0" t="n">
        <v>552</v>
      </c>
      <c r="H181" s="4" t="n">
        <v>21.52</v>
      </c>
      <c r="I181" s="4" t="n">
        <v>18.79</v>
      </c>
      <c r="J181" s="0" t="n">
        <v>13</v>
      </c>
      <c r="K181" s="3" t="s">
        <v>24</v>
      </c>
      <c r="L181" s="3" t="n">
        <f aca="false">IF(D181="","",IF(D181-C181&lt;0,"",D181-C181))</f>
        <v>11</v>
      </c>
      <c r="M181" s="4" t="n">
        <f aca="false">G181*I181</f>
        <v>10372.08</v>
      </c>
      <c r="N181" s="5" t="n">
        <f aca="false">IF(J181="","",J181/G181*100)</f>
        <v>2.35507246376812</v>
      </c>
      <c r="O181" s="5" t="n">
        <f aca="false">(H181-I181)/H181*100</f>
        <v>12.685873605948</v>
      </c>
      <c r="P181" s="3" t="n">
        <f aca="false">IF(OR(F181="Delivered",F181="Partially Delivered"),1,0)</f>
        <v>1</v>
      </c>
      <c r="Q181" s="3" t="n">
        <f aca="false">IF(F181="Cancelled",1,0)</f>
        <v>0</v>
      </c>
      <c r="R181" s="3" t="n">
        <f aca="false">IF(K181="Yes",1,0)</f>
        <v>1</v>
      </c>
    </row>
    <row r="182" customFormat="false" ht="15" hidden="false" customHeight="false" outlineLevel="0" collapsed="false">
      <c r="A182" s="0" t="s">
        <v>479</v>
      </c>
      <c r="B182" s="0" t="s">
        <v>46</v>
      </c>
      <c r="C182" s="2" t="s">
        <v>480</v>
      </c>
      <c r="D182" s="2" t="s">
        <v>481</v>
      </c>
      <c r="E182" s="3" t="s">
        <v>71</v>
      </c>
      <c r="F182" s="3" t="s">
        <v>29</v>
      </c>
      <c r="G182" s="0" t="n">
        <v>816</v>
      </c>
      <c r="H182" s="4" t="n">
        <v>26.04</v>
      </c>
      <c r="I182" s="4" t="n">
        <v>25.61</v>
      </c>
      <c r="J182" s="0" t="n">
        <v>28</v>
      </c>
      <c r="K182" s="3" t="s">
        <v>24</v>
      </c>
      <c r="L182" s="3" t="n">
        <f aca="false">IF(D182="","",IF(D182-C182&lt;0,"",D182-C182))</f>
        <v>16</v>
      </c>
      <c r="M182" s="4" t="n">
        <f aca="false">G182*I182</f>
        <v>20897.76</v>
      </c>
      <c r="N182" s="5" t="n">
        <f aca="false">IF(J182="","",J182/G182*100)</f>
        <v>3.43137254901961</v>
      </c>
      <c r="O182" s="5" t="n">
        <f aca="false">(H182-I182)/H182*100</f>
        <v>1.65130568356375</v>
      </c>
      <c r="P182" s="3" t="n">
        <f aca="false">IF(OR(F182="Delivered",F182="Partially Delivered"),1,0)</f>
        <v>1</v>
      </c>
      <c r="Q182" s="3" t="n">
        <f aca="false">IF(F182="Cancelled",1,0)</f>
        <v>0</v>
      </c>
      <c r="R182" s="3" t="n">
        <f aca="false">IF(K182="Yes",1,0)</f>
        <v>1</v>
      </c>
    </row>
    <row r="183" customFormat="false" ht="15" hidden="false" customHeight="false" outlineLevel="0" collapsed="false">
      <c r="A183" s="0" t="s">
        <v>482</v>
      </c>
      <c r="B183" s="0" t="s">
        <v>26</v>
      </c>
      <c r="C183" s="2" t="s">
        <v>483</v>
      </c>
      <c r="D183" s="2" t="s">
        <v>484</v>
      </c>
      <c r="E183" s="3" t="s">
        <v>39</v>
      </c>
      <c r="F183" s="3" t="s">
        <v>29</v>
      </c>
      <c r="G183" s="0" t="n">
        <v>447</v>
      </c>
      <c r="H183" s="4" t="n">
        <v>23.62</v>
      </c>
      <c r="I183" s="4" t="n">
        <v>21.81</v>
      </c>
      <c r="J183" s="0" t="n">
        <v>50</v>
      </c>
      <c r="K183" s="3" t="s">
        <v>24</v>
      </c>
      <c r="L183" s="3" t="n">
        <f aca="false">IF(D183="","",IF(D183-C183&lt;0,"",D183-C183))</f>
        <v>2</v>
      </c>
      <c r="M183" s="4" t="n">
        <f aca="false">G183*I183</f>
        <v>9749.07</v>
      </c>
      <c r="N183" s="5" t="n">
        <f aca="false">IF(J183="","",J183/G183*100)</f>
        <v>11.1856823266219</v>
      </c>
      <c r="O183" s="5" t="n">
        <f aca="false">(H183-I183)/H183*100</f>
        <v>7.66299745977986</v>
      </c>
      <c r="P183" s="3" t="n">
        <f aca="false">IF(OR(F183="Delivered",F183="Partially Delivered"),1,0)</f>
        <v>1</v>
      </c>
      <c r="Q183" s="3" t="n">
        <f aca="false">IF(F183="Cancelled",1,0)</f>
        <v>0</v>
      </c>
      <c r="R183" s="3" t="n">
        <f aca="false">IF(K183="Yes",1,0)</f>
        <v>1</v>
      </c>
    </row>
    <row r="184" customFormat="false" ht="15" hidden="false" customHeight="false" outlineLevel="0" collapsed="false">
      <c r="A184" s="0" t="s">
        <v>485</v>
      </c>
      <c r="B184" s="0" t="s">
        <v>26</v>
      </c>
      <c r="C184" s="2" t="s">
        <v>486</v>
      </c>
      <c r="D184" s="2" t="s">
        <v>487</v>
      </c>
      <c r="E184" s="3" t="s">
        <v>39</v>
      </c>
      <c r="F184" s="3" t="s">
        <v>58</v>
      </c>
      <c r="G184" s="0" t="n">
        <v>920</v>
      </c>
      <c r="H184" s="4" t="n">
        <v>73.09</v>
      </c>
      <c r="I184" s="4" t="n">
        <v>70.14</v>
      </c>
      <c r="K184" s="3" t="s">
        <v>24</v>
      </c>
      <c r="L184" s="3" t="n">
        <f aca="false">IF(D184="","",IF(D184-C184&lt;0,"",D184-C184))</f>
        <v>8</v>
      </c>
      <c r="M184" s="4" t="n">
        <f aca="false">G184*I184</f>
        <v>64528.8</v>
      </c>
      <c r="N184" s="5" t="str">
        <f aca="false">IF(J184="","",J184/G184*100)</f>
        <v/>
      </c>
      <c r="O184" s="5" t="n">
        <f aca="false">(H184-I184)/H184*100</f>
        <v>4.03611985223697</v>
      </c>
      <c r="P184" s="3" t="n">
        <f aca="false">IF(OR(F184="Delivered",F184="Partially Delivered"),1,0)</f>
        <v>1</v>
      </c>
      <c r="Q184" s="3" t="n">
        <f aca="false">IF(F184="Cancelled",1,0)</f>
        <v>0</v>
      </c>
      <c r="R184" s="3" t="n">
        <f aca="false">IF(K184="Yes",1,0)</f>
        <v>1</v>
      </c>
    </row>
    <row r="185" customFormat="false" ht="15" hidden="false" customHeight="false" outlineLevel="0" collapsed="false">
      <c r="A185" s="0" t="s">
        <v>488</v>
      </c>
      <c r="B185" s="0" t="s">
        <v>46</v>
      </c>
      <c r="C185" s="2" t="s">
        <v>489</v>
      </c>
      <c r="D185" s="2" t="s">
        <v>490</v>
      </c>
      <c r="E185" s="3" t="s">
        <v>39</v>
      </c>
      <c r="F185" s="3" t="s">
        <v>58</v>
      </c>
      <c r="G185" s="0" t="n">
        <v>844</v>
      </c>
      <c r="H185" s="4" t="n">
        <v>26.37</v>
      </c>
      <c r="I185" s="4" t="n">
        <v>25.08</v>
      </c>
      <c r="J185" s="0" t="n">
        <v>38</v>
      </c>
      <c r="K185" s="3" t="s">
        <v>24</v>
      </c>
      <c r="L185" s="3" t="n">
        <f aca="false">IF(D185="","",IF(D185-C185&lt;0,"",D185-C185))</f>
        <v>10</v>
      </c>
      <c r="M185" s="4" t="n">
        <f aca="false">G185*I185</f>
        <v>21167.52</v>
      </c>
      <c r="N185" s="5" t="n">
        <f aca="false">IF(J185="","",J185/G185*100)</f>
        <v>4.50236966824645</v>
      </c>
      <c r="O185" s="5" t="n">
        <f aca="false">(H185-I185)/H185*100</f>
        <v>4.89192263936292</v>
      </c>
      <c r="P185" s="3" t="n">
        <f aca="false">IF(OR(F185="Delivered",F185="Partially Delivered"),1,0)</f>
        <v>1</v>
      </c>
      <c r="Q185" s="3" t="n">
        <f aca="false">IF(F185="Cancelled",1,0)</f>
        <v>0</v>
      </c>
      <c r="R185" s="3" t="n">
        <f aca="false">IF(K185="Yes",1,0)</f>
        <v>1</v>
      </c>
    </row>
    <row r="186" customFormat="false" ht="15" hidden="false" customHeight="false" outlineLevel="0" collapsed="false">
      <c r="A186" s="0" t="s">
        <v>491</v>
      </c>
      <c r="B186" s="0" t="s">
        <v>46</v>
      </c>
      <c r="C186" s="2" t="s">
        <v>27</v>
      </c>
      <c r="D186" s="2"/>
      <c r="E186" s="3" t="s">
        <v>34</v>
      </c>
      <c r="F186" s="3" t="s">
        <v>29</v>
      </c>
      <c r="G186" s="0" t="n">
        <v>442</v>
      </c>
      <c r="H186" s="4" t="n">
        <v>41.73</v>
      </c>
      <c r="I186" s="4" t="n">
        <v>36.45</v>
      </c>
      <c r="J186" s="0" t="n">
        <v>15</v>
      </c>
      <c r="K186" s="3" t="s">
        <v>24</v>
      </c>
      <c r="L186" s="0" t="str">
        <f aca="false">IF(D186="","",IF(D186-C186&lt;0,"",D186-C186))</f>
        <v/>
      </c>
      <c r="M186" s="4" t="n">
        <f aca="false">G186*I186</f>
        <v>16110.9</v>
      </c>
      <c r="N186" s="5" t="n">
        <f aca="false">IF(J186="","",J186/G186*100)</f>
        <v>3.39366515837104</v>
      </c>
      <c r="O186" s="5" t="n">
        <f aca="false">(H186-I186)/H186*100</f>
        <v>12.6527677929547</v>
      </c>
      <c r="P186" s="3" t="n">
        <f aca="false">IF(OR(F186="Delivered",F186="Partially Delivered"),1,0)</f>
        <v>1</v>
      </c>
      <c r="Q186" s="3" t="n">
        <f aca="false">IF(F186="Cancelled",1,0)</f>
        <v>0</v>
      </c>
      <c r="R186" s="3" t="n">
        <f aca="false">IF(K186="Yes",1,0)</f>
        <v>1</v>
      </c>
    </row>
    <row r="187" customFormat="false" ht="15" hidden="false" customHeight="false" outlineLevel="0" collapsed="false">
      <c r="A187" s="0" t="s">
        <v>492</v>
      </c>
      <c r="B187" s="0" t="s">
        <v>36</v>
      </c>
      <c r="C187" s="2" t="s">
        <v>493</v>
      </c>
      <c r="D187" s="2" t="s">
        <v>158</v>
      </c>
      <c r="E187" s="3" t="s">
        <v>71</v>
      </c>
      <c r="F187" s="3" t="s">
        <v>23</v>
      </c>
      <c r="G187" s="0" t="n">
        <v>256</v>
      </c>
      <c r="H187" s="4" t="n">
        <v>96.15</v>
      </c>
      <c r="I187" s="4" t="n">
        <v>83.44</v>
      </c>
      <c r="J187" s="0" t="n">
        <v>26</v>
      </c>
      <c r="K187" s="3" t="s">
        <v>24</v>
      </c>
      <c r="L187" s="3" t="n">
        <f aca="false">IF(D187="","",IF(D187-C187&lt;0,"",D187-C187))</f>
        <v>14</v>
      </c>
      <c r="M187" s="4" t="n">
        <f aca="false">G187*I187</f>
        <v>21360.64</v>
      </c>
      <c r="N187" s="5" t="n">
        <f aca="false">IF(J187="","",J187/G187*100)</f>
        <v>10.15625</v>
      </c>
      <c r="O187" s="5" t="n">
        <f aca="false">(H187-I187)/H187*100</f>
        <v>13.2189287571503</v>
      </c>
      <c r="P187" s="3" t="n">
        <f aca="false">IF(OR(F187="Delivered",F187="Partially Delivered"),1,0)</f>
        <v>0</v>
      </c>
      <c r="Q187" s="3" t="n">
        <f aca="false">IF(F187="Cancelled",1,0)</f>
        <v>1</v>
      </c>
      <c r="R187" s="3" t="n">
        <f aca="false">IF(K187="Yes",1,0)</f>
        <v>1</v>
      </c>
    </row>
    <row r="188" customFormat="false" ht="15" hidden="false" customHeight="false" outlineLevel="0" collapsed="false">
      <c r="A188" s="0" t="s">
        <v>494</v>
      </c>
      <c r="B188" s="0" t="s">
        <v>26</v>
      </c>
      <c r="C188" s="2" t="s">
        <v>495</v>
      </c>
      <c r="D188" s="2"/>
      <c r="E188" s="3" t="s">
        <v>34</v>
      </c>
      <c r="F188" s="3" t="s">
        <v>58</v>
      </c>
      <c r="G188" s="0" t="n">
        <v>1088</v>
      </c>
      <c r="H188" s="4" t="n">
        <v>55.29</v>
      </c>
      <c r="I188" s="4" t="n">
        <v>53.04</v>
      </c>
      <c r="J188" s="0" t="n">
        <v>161</v>
      </c>
      <c r="K188" s="3" t="s">
        <v>44</v>
      </c>
      <c r="L188" s="0" t="str">
        <f aca="false">IF(D188="","",IF(D188-C188&lt;0,"",D188-C188))</f>
        <v/>
      </c>
      <c r="M188" s="4" t="n">
        <f aca="false">G188*I188</f>
        <v>57707.52</v>
      </c>
      <c r="N188" s="5" t="n">
        <f aca="false">IF(J188="","",J188/G188*100)</f>
        <v>14.7977941176471</v>
      </c>
      <c r="O188" s="5" t="n">
        <f aca="false">(H188-I188)/H188*100</f>
        <v>4.06945198046663</v>
      </c>
      <c r="P188" s="3" t="n">
        <f aca="false">IF(OR(F188="Delivered",F188="Partially Delivered"),1,0)</f>
        <v>1</v>
      </c>
      <c r="Q188" s="3" t="n">
        <f aca="false">IF(F188="Cancelled",1,0)</f>
        <v>0</v>
      </c>
      <c r="R188" s="3" t="n">
        <f aca="false">IF(K188="Yes",1,0)</f>
        <v>0</v>
      </c>
    </row>
    <row r="189" customFormat="false" ht="15" hidden="false" customHeight="false" outlineLevel="0" collapsed="false">
      <c r="A189" s="0" t="s">
        <v>496</v>
      </c>
      <c r="B189" s="0" t="s">
        <v>36</v>
      </c>
      <c r="C189" s="2" t="s">
        <v>497</v>
      </c>
      <c r="D189" s="2" t="s">
        <v>498</v>
      </c>
      <c r="E189" s="3" t="s">
        <v>22</v>
      </c>
      <c r="F189" s="3" t="s">
        <v>29</v>
      </c>
      <c r="G189" s="0" t="n">
        <v>1931</v>
      </c>
      <c r="H189" s="4" t="n">
        <v>72.88</v>
      </c>
      <c r="I189" s="4" t="n">
        <v>64.69</v>
      </c>
      <c r="J189" s="0" t="n">
        <v>187</v>
      </c>
      <c r="K189" s="3" t="s">
        <v>24</v>
      </c>
      <c r="L189" s="3" t="n">
        <f aca="false">IF(D189="","",IF(D189-C189&lt;0,"",D189-C189))</f>
        <v>4</v>
      </c>
      <c r="M189" s="4" t="n">
        <f aca="false">G189*I189</f>
        <v>124916.39</v>
      </c>
      <c r="N189" s="5" t="n">
        <f aca="false">IF(J189="","",J189/G189*100)</f>
        <v>9.68410150181253</v>
      </c>
      <c r="O189" s="5" t="n">
        <f aca="false">(H189-I189)/H189*100</f>
        <v>11.2376509330406</v>
      </c>
      <c r="P189" s="3" t="n">
        <f aca="false">IF(OR(F189="Delivered",F189="Partially Delivered"),1,0)</f>
        <v>1</v>
      </c>
      <c r="Q189" s="3" t="n">
        <f aca="false">IF(F189="Cancelled",1,0)</f>
        <v>0</v>
      </c>
      <c r="R189" s="3" t="n">
        <f aca="false">IF(K189="Yes",1,0)</f>
        <v>1</v>
      </c>
    </row>
    <row r="190" customFormat="false" ht="15" hidden="false" customHeight="false" outlineLevel="0" collapsed="false">
      <c r="A190" s="0" t="s">
        <v>499</v>
      </c>
      <c r="B190" s="0" t="s">
        <v>31</v>
      </c>
      <c r="C190" s="2" t="s">
        <v>500</v>
      </c>
      <c r="D190" s="2" t="s">
        <v>501</v>
      </c>
      <c r="E190" s="3" t="s">
        <v>71</v>
      </c>
      <c r="F190" s="3" t="s">
        <v>29</v>
      </c>
      <c r="G190" s="0" t="n">
        <v>1627</v>
      </c>
      <c r="H190" s="4" t="n">
        <v>25.76</v>
      </c>
      <c r="I190" s="4" t="n">
        <v>25.09</v>
      </c>
      <c r="J190" s="0" t="n">
        <v>74</v>
      </c>
      <c r="K190" s="3" t="s">
        <v>24</v>
      </c>
      <c r="L190" s="3" t="n">
        <f aca="false">IF(D190="","",IF(D190-C190&lt;0,"",D190-C190))</f>
        <v>10</v>
      </c>
      <c r="M190" s="4" t="n">
        <f aca="false">G190*I190</f>
        <v>40821.43</v>
      </c>
      <c r="N190" s="5" t="n">
        <f aca="false">IF(J190="","",J190/G190*100)</f>
        <v>4.54824830977259</v>
      </c>
      <c r="O190" s="5" t="n">
        <f aca="false">(H190-I190)/H190*100</f>
        <v>2.60093167701864</v>
      </c>
      <c r="P190" s="3" t="n">
        <f aca="false">IF(OR(F190="Delivered",F190="Partially Delivered"),1,0)</f>
        <v>1</v>
      </c>
      <c r="Q190" s="3" t="n">
        <f aca="false">IF(F190="Cancelled",1,0)</f>
        <v>0</v>
      </c>
      <c r="R190" s="3" t="n">
        <f aca="false">IF(K190="Yes",1,0)</f>
        <v>1</v>
      </c>
    </row>
    <row r="191" customFormat="false" ht="15" hidden="false" customHeight="false" outlineLevel="0" collapsed="false">
      <c r="A191" s="0" t="s">
        <v>502</v>
      </c>
      <c r="B191" s="0" t="s">
        <v>36</v>
      </c>
      <c r="C191" s="2" t="s">
        <v>85</v>
      </c>
      <c r="D191" s="2"/>
      <c r="E191" s="3" t="s">
        <v>39</v>
      </c>
      <c r="F191" s="3" t="s">
        <v>29</v>
      </c>
      <c r="G191" s="0" t="n">
        <v>941</v>
      </c>
      <c r="H191" s="4" t="n">
        <v>28.4</v>
      </c>
      <c r="I191" s="4" t="n">
        <v>27.21</v>
      </c>
      <c r="K191" s="3" t="s">
        <v>44</v>
      </c>
      <c r="L191" s="0" t="str">
        <f aca="false">IF(D191="","",IF(D191-C191&lt;0,"",D191-C191))</f>
        <v/>
      </c>
      <c r="M191" s="4" t="n">
        <f aca="false">G191*I191</f>
        <v>25604.61</v>
      </c>
      <c r="N191" s="5" t="str">
        <f aca="false">IF(J191="","",J191/G191*100)</f>
        <v/>
      </c>
      <c r="O191" s="5" t="n">
        <f aca="false">(H191-I191)/H191*100</f>
        <v>4.19014084507042</v>
      </c>
      <c r="P191" s="3" t="n">
        <f aca="false">IF(OR(F191="Delivered",F191="Partially Delivered"),1,0)</f>
        <v>1</v>
      </c>
      <c r="Q191" s="3" t="n">
        <f aca="false">IF(F191="Cancelled",1,0)</f>
        <v>0</v>
      </c>
      <c r="R191" s="3" t="n">
        <f aca="false">IF(K191="Yes",1,0)</f>
        <v>0</v>
      </c>
    </row>
    <row r="192" customFormat="false" ht="15" hidden="false" customHeight="false" outlineLevel="0" collapsed="false">
      <c r="A192" s="0" t="s">
        <v>503</v>
      </c>
      <c r="B192" s="0" t="s">
        <v>31</v>
      </c>
      <c r="C192" s="2" t="s">
        <v>286</v>
      </c>
      <c r="D192" s="2" t="s">
        <v>504</v>
      </c>
      <c r="E192" s="3" t="s">
        <v>34</v>
      </c>
      <c r="F192" s="3" t="s">
        <v>29</v>
      </c>
      <c r="G192" s="0" t="n">
        <v>1534</v>
      </c>
      <c r="H192" s="4" t="n">
        <v>14.98</v>
      </c>
      <c r="I192" s="4" t="n">
        <v>12.79</v>
      </c>
      <c r="K192" s="3" t="s">
        <v>24</v>
      </c>
      <c r="L192" s="3" t="n">
        <f aca="false">IF(D192="","",IF(D192-C192&lt;0,"",D192-C192))</f>
        <v>2</v>
      </c>
      <c r="M192" s="4" t="n">
        <f aca="false">G192*I192</f>
        <v>19619.86</v>
      </c>
      <c r="N192" s="5" t="str">
        <f aca="false">IF(J192="","",J192/G192*100)</f>
        <v/>
      </c>
      <c r="O192" s="5" t="n">
        <f aca="false">(H192-I192)/H192*100</f>
        <v>14.6194926568758</v>
      </c>
      <c r="P192" s="3" t="n">
        <f aca="false">IF(OR(F192="Delivered",F192="Partially Delivered"),1,0)</f>
        <v>1</v>
      </c>
      <c r="Q192" s="3" t="n">
        <f aca="false">IF(F192="Cancelled",1,0)</f>
        <v>0</v>
      </c>
      <c r="R192" s="3" t="n">
        <f aca="false">IF(K192="Yes",1,0)</f>
        <v>1</v>
      </c>
    </row>
    <row r="193" customFormat="false" ht="15" hidden="false" customHeight="false" outlineLevel="0" collapsed="false">
      <c r="A193" s="0" t="s">
        <v>505</v>
      </c>
      <c r="B193" s="0" t="s">
        <v>19</v>
      </c>
      <c r="C193" s="2" t="s">
        <v>179</v>
      </c>
      <c r="D193" s="2" t="s">
        <v>506</v>
      </c>
      <c r="E193" s="3" t="s">
        <v>43</v>
      </c>
      <c r="F193" s="3" t="s">
        <v>29</v>
      </c>
      <c r="G193" s="0" t="n">
        <v>1764</v>
      </c>
      <c r="H193" s="4" t="n">
        <v>25.46</v>
      </c>
      <c r="I193" s="4" t="n">
        <v>24.52</v>
      </c>
      <c r="J193" s="0" t="n">
        <v>46</v>
      </c>
      <c r="K193" s="3" t="s">
        <v>24</v>
      </c>
      <c r="L193" s="3" t="n">
        <f aca="false">IF(D193="","",IF(D193-C193&lt;0,"",D193-C193))</f>
        <v>12</v>
      </c>
      <c r="M193" s="4" t="n">
        <f aca="false">G193*I193</f>
        <v>43253.28</v>
      </c>
      <c r="N193" s="5" t="n">
        <f aca="false">IF(J193="","",J193/G193*100)</f>
        <v>2.60770975056689</v>
      </c>
      <c r="O193" s="5" t="n">
        <f aca="false">(H193-I193)/H193*100</f>
        <v>3.69206598586018</v>
      </c>
      <c r="P193" s="3" t="n">
        <f aca="false">IF(OR(F193="Delivered",F193="Partially Delivered"),1,0)</f>
        <v>1</v>
      </c>
      <c r="Q193" s="3" t="n">
        <f aca="false">IF(F193="Cancelled",1,0)</f>
        <v>0</v>
      </c>
      <c r="R193" s="3" t="n">
        <f aca="false">IF(K193="Yes",1,0)</f>
        <v>1</v>
      </c>
    </row>
    <row r="194" customFormat="false" ht="15" hidden="false" customHeight="false" outlineLevel="0" collapsed="false">
      <c r="A194" s="0" t="s">
        <v>507</v>
      </c>
      <c r="B194" s="0" t="s">
        <v>26</v>
      </c>
      <c r="C194" s="2" t="s">
        <v>508</v>
      </c>
      <c r="D194" s="2" t="s">
        <v>78</v>
      </c>
      <c r="E194" s="3" t="s">
        <v>71</v>
      </c>
      <c r="F194" s="3" t="s">
        <v>29</v>
      </c>
      <c r="G194" s="0" t="n">
        <v>1648</v>
      </c>
      <c r="H194" s="4" t="n">
        <v>35.42</v>
      </c>
      <c r="I194" s="4" t="n">
        <v>31.46</v>
      </c>
      <c r="K194" s="3" t="s">
        <v>44</v>
      </c>
      <c r="L194" s="3" t="n">
        <f aca="false">IF(D194="","",IF(D194-C194&lt;0,"",D194-C194))</f>
        <v>8</v>
      </c>
      <c r="M194" s="4" t="n">
        <f aca="false">G194*I194</f>
        <v>51846.08</v>
      </c>
      <c r="N194" s="5" t="str">
        <f aca="false">IF(J194="","",J194/G194*100)</f>
        <v/>
      </c>
      <c r="O194" s="5" t="n">
        <f aca="false">(H194-I194)/H194*100</f>
        <v>11.1801242236025</v>
      </c>
      <c r="P194" s="3" t="n">
        <f aca="false">IF(OR(F194="Delivered",F194="Partially Delivered"),1,0)</f>
        <v>1</v>
      </c>
      <c r="Q194" s="3" t="n">
        <f aca="false">IF(F194="Cancelled",1,0)</f>
        <v>0</v>
      </c>
      <c r="R194" s="3" t="n">
        <f aca="false">IF(K194="Yes",1,0)</f>
        <v>0</v>
      </c>
    </row>
    <row r="195" customFormat="false" ht="15" hidden="false" customHeight="false" outlineLevel="0" collapsed="false">
      <c r="A195" s="0" t="s">
        <v>509</v>
      </c>
      <c r="B195" s="0" t="s">
        <v>31</v>
      </c>
      <c r="C195" s="2" t="s">
        <v>510</v>
      </c>
      <c r="D195" s="2" t="s">
        <v>511</v>
      </c>
      <c r="E195" s="3" t="s">
        <v>39</v>
      </c>
      <c r="F195" s="3" t="s">
        <v>29</v>
      </c>
      <c r="G195" s="0" t="n">
        <v>913</v>
      </c>
      <c r="H195" s="4" t="n">
        <v>28.01</v>
      </c>
      <c r="I195" s="4" t="n">
        <v>24.06</v>
      </c>
      <c r="J195" s="0" t="n">
        <v>53</v>
      </c>
      <c r="K195" s="3" t="s">
        <v>24</v>
      </c>
      <c r="L195" s="3" t="n">
        <f aca="false">IF(D195="","",IF(D195-C195&lt;0,"",D195-C195))</f>
        <v>19</v>
      </c>
      <c r="M195" s="4" t="n">
        <f aca="false">G195*I195</f>
        <v>21966.78</v>
      </c>
      <c r="N195" s="5" t="n">
        <f aca="false">IF(J195="","",J195/G195*100)</f>
        <v>5.80503833515882</v>
      </c>
      <c r="O195" s="5" t="n">
        <f aca="false">(H195-I195)/H195*100</f>
        <v>14.1021063905748</v>
      </c>
      <c r="P195" s="3" t="n">
        <f aca="false">IF(OR(F195="Delivered",F195="Partially Delivered"),1,0)</f>
        <v>1</v>
      </c>
      <c r="Q195" s="3" t="n">
        <f aca="false">IF(F195="Cancelled",1,0)</f>
        <v>0</v>
      </c>
      <c r="R195" s="3" t="n">
        <f aca="false">IF(K195="Yes",1,0)</f>
        <v>1</v>
      </c>
    </row>
    <row r="196" customFormat="false" ht="15" hidden="false" customHeight="false" outlineLevel="0" collapsed="false">
      <c r="A196" s="0" t="s">
        <v>512</v>
      </c>
      <c r="B196" s="0" t="s">
        <v>19</v>
      </c>
      <c r="C196" s="2" t="s">
        <v>311</v>
      </c>
      <c r="D196" s="2" t="s">
        <v>513</v>
      </c>
      <c r="E196" s="3" t="s">
        <v>39</v>
      </c>
      <c r="F196" s="3" t="s">
        <v>23</v>
      </c>
      <c r="G196" s="0" t="n">
        <v>792</v>
      </c>
      <c r="H196" s="4" t="n">
        <v>18.16</v>
      </c>
      <c r="I196" s="4" t="n">
        <v>17.25</v>
      </c>
      <c r="J196" s="0" t="n">
        <v>17</v>
      </c>
      <c r="K196" s="3" t="s">
        <v>24</v>
      </c>
      <c r="L196" s="3" t="n">
        <f aca="false">IF(D196="","",IF(D196-C196&lt;0,"",D196-C196))</f>
        <v>6</v>
      </c>
      <c r="M196" s="4" t="n">
        <f aca="false">G196*I196</f>
        <v>13662</v>
      </c>
      <c r="N196" s="5" t="n">
        <f aca="false">IF(J196="","",J196/G196*100)</f>
        <v>2.14646464646465</v>
      </c>
      <c r="O196" s="5" t="n">
        <f aca="false">(H196-I196)/H196*100</f>
        <v>5.01101321585903</v>
      </c>
      <c r="P196" s="3" t="n">
        <f aca="false">IF(OR(F196="Delivered",F196="Partially Delivered"),1,0)</f>
        <v>0</v>
      </c>
      <c r="Q196" s="3" t="n">
        <f aca="false">IF(F196="Cancelled",1,0)</f>
        <v>1</v>
      </c>
      <c r="R196" s="3" t="n">
        <f aca="false">IF(K196="Yes",1,0)</f>
        <v>1</v>
      </c>
    </row>
    <row r="197" customFormat="false" ht="15" hidden="false" customHeight="false" outlineLevel="0" collapsed="false">
      <c r="A197" s="0" t="s">
        <v>514</v>
      </c>
      <c r="B197" s="0" t="s">
        <v>46</v>
      </c>
      <c r="C197" s="2" t="s">
        <v>515</v>
      </c>
      <c r="D197" s="2" t="s">
        <v>516</v>
      </c>
      <c r="E197" s="3" t="s">
        <v>22</v>
      </c>
      <c r="F197" s="3" t="s">
        <v>58</v>
      </c>
      <c r="G197" s="0" t="n">
        <v>1314</v>
      </c>
      <c r="H197" s="4" t="n">
        <v>22.63</v>
      </c>
      <c r="I197" s="4" t="n">
        <v>21.06</v>
      </c>
      <c r="J197" s="0" t="n">
        <v>44</v>
      </c>
      <c r="K197" s="3" t="s">
        <v>24</v>
      </c>
      <c r="L197" s="3" t="n">
        <f aca="false">IF(D197="","",IF(D197-C197&lt;0,"",D197-C197))</f>
        <v>3</v>
      </c>
      <c r="M197" s="4" t="n">
        <f aca="false">G197*I197</f>
        <v>27672.84</v>
      </c>
      <c r="N197" s="5" t="n">
        <f aca="false">IF(J197="","",J197/G197*100)</f>
        <v>3.34855403348554</v>
      </c>
      <c r="O197" s="5" t="n">
        <f aca="false">(H197-I197)/H197*100</f>
        <v>6.93769332744145</v>
      </c>
      <c r="P197" s="3" t="n">
        <f aca="false">IF(OR(F197="Delivered",F197="Partially Delivered"),1,0)</f>
        <v>1</v>
      </c>
      <c r="Q197" s="3" t="n">
        <f aca="false">IF(F197="Cancelled",1,0)</f>
        <v>0</v>
      </c>
      <c r="R197" s="3" t="n">
        <f aca="false">IF(K197="Yes",1,0)</f>
        <v>1</v>
      </c>
    </row>
    <row r="198" customFormat="false" ht="15" hidden="false" customHeight="false" outlineLevel="0" collapsed="false">
      <c r="A198" s="0" t="s">
        <v>517</v>
      </c>
      <c r="B198" s="0" t="s">
        <v>36</v>
      </c>
      <c r="C198" s="2" t="s">
        <v>377</v>
      </c>
      <c r="D198" s="2" t="s">
        <v>364</v>
      </c>
      <c r="E198" s="3" t="s">
        <v>34</v>
      </c>
      <c r="F198" s="3" t="s">
        <v>29</v>
      </c>
      <c r="G198" s="0" t="n">
        <v>613</v>
      </c>
      <c r="H198" s="4" t="n">
        <v>52.5</v>
      </c>
      <c r="I198" s="4" t="n">
        <v>45.19</v>
      </c>
      <c r="J198" s="0" t="n">
        <v>70</v>
      </c>
      <c r="K198" s="3" t="s">
        <v>24</v>
      </c>
      <c r="L198" s="3" t="n">
        <f aca="false">IF(D198="","",IF(D198-C198&lt;0,"",D198-C198))</f>
        <v>13</v>
      </c>
      <c r="M198" s="4" t="n">
        <f aca="false">G198*I198</f>
        <v>27701.47</v>
      </c>
      <c r="N198" s="5" t="n">
        <f aca="false">IF(J198="","",J198/G198*100)</f>
        <v>11.4192495921697</v>
      </c>
      <c r="O198" s="5" t="n">
        <f aca="false">(H198-I198)/H198*100</f>
        <v>13.9238095238095</v>
      </c>
      <c r="P198" s="3" t="n">
        <f aca="false">IF(OR(F198="Delivered",F198="Partially Delivered"),1,0)</f>
        <v>1</v>
      </c>
      <c r="Q198" s="3" t="n">
        <f aca="false">IF(F198="Cancelled",1,0)</f>
        <v>0</v>
      </c>
      <c r="R198" s="3" t="n">
        <f aca="false">IF(K198="Yes",1,0)</f>
        <v>1</v>
      </c>
    </row>
    <row r="199" customFormat="false" ht="15" hidden="false" customHeight="false" outlineLevel="0" collapsed="false">
      <c r="A199" s="0" t="s">
        <v>518</v>
      </c>
      <c r="B199" s="0" t="s">
        <v>19</v>
      </c>
      <c r="C199" s="2" t="s">
        <v>415</v>
      </c>
      <c r="D199" s="2" t="s">
        <v>519</v>
      </c>
      <c r="E199" s="3" t="s">
        <v>22</v>
      </c>
      <c r="F199" s="3" t="s">
        <v>29</v>
      </c>
      <c r="G199" s="0" t="n">
        <v>1070</v>
      </c>
      <c r="H199" s="4" t="n">
        <v>29.14</v>
      </c>
      <c r="I199" s="4" t="n">
        <v>26.63</v>
      </c>
      <c r="J199" s="0" t="n">
        <v>24</v>
      </c>
      <c r="K199" s="3" t="s">
        <v>24</v>
      </c>
      <c r="L199" s="3" t="n">
        <f aca="false">IF(D199="","",IF(D199-C199&lt;0,"",D199-C199))</f>
        <v>8</v>
      </c>
      <c r="M199" s="4" t="n">
        <f aca="false">G199*I199</f>
        <v>28494.1</v>
      </c>
      <c r="N199" s="5" t="n">
        <f aca="false">IF(J199="","",J199/G199*100)</f>
        <v>2.24299065420561</v>
      </c>
      <c r="O199" s="5" t="n">
        <f aca="false">(H199-I199)/H199*100</f>
        <v>8.61358956760467</v>
      </c>
      <c r="P199" s="3" t="n">
        <f aca="false">IF(OR(F199="Delivered",F199="Partially Delivered"),1,0)</f>
        <v>1</v>
      </c>
      <c r="Q199" s="3" t="n">
        <f aca="false">IF(F199="Cancelled",1,0)</f>
        <v>0</v>
      </c>
      <c r="R199" s="3" t="n">
        <f aca="false">IF(K199="Yes",1,0)</f>
        <v>1</v>
      </c>
    </row>
    <row r="200" customFormat="false" ht="15" hidden="false" customHeight="false" outlineLevel="0" collapsed="false">
      <c r="A200" s="0" t="s">
        <v>520</v>
      </c>
      <c r="B200" s="0" t="s">
        <v>31</v>
      </c>
      <c r="C200" s="2" t="s">
        <v>424</v>
      </c>
      <c r="D200" s="2" t="s">
        <v>521</v>
      </c>
      <c r="E200" s="3" t="s">
        <v>43</v>
      </c>
      <c r="F200" s="3" t="s">
        <v>58</v>
      </c>
      <c r="G200" s="0" t="n">
        <v>145</v>
      </c>
      <c r="H200" s="4" t="n">
        <v>47.49</v>
      </c>
      <c r="I200" s="4" t="n">
        <v>42.76</v>
      </c>
      <c r="J200" s="0" t="n">
        <v>6</v>
      </c>
      <c r="K200" s="3" t="s">
        <v>24</v>
      </c>
      <c r="L200" s="3" t="n">
        <f aca="false">IF(D200="","",IF(D200-C200&lt;0,"",D200-C200))</f>
        <v>19</v>
      </c>
      <c r="M200" s="4" t="n">
        <f aca="false">G200*I200</f>
        <v>6200.2</v>
      </c>
      <c r="N200" s="5" t="n">
        <f aca="false">IF(J200="","",J200/G200*100)</f>
        <v>4.13793103448276</v>
      </c>
      <c r="O200" s="5" t="n">
        <f aca="false">(H200-I200)/H200*100</f>
        <v>9.95999157717415</v>
      </c>
      <c r="P200" s="3" t="n">
        <f aca="false">IF(OR(F200="Delivered",F200="Partially Delivered"),1,0)</f>
        <v>1</v>
      </c>
      <c r="Q200" s="3" t="n">
        <f aca="false">IF(F200="Cancelled",1,0)</f>
        <v>0</v>
      </c>
      <c r="R200" s="3" t="n">
        <f aca="false">IF(K200="Yes",1,0)</f>
        <v>1</v>
      </c>
    </row>
    <row r="201" customFormat="false" ht="15" hidden="false" customHeight="false" outlineLevel="0" collapsed="false">
      <c r="A201" s="0" t="s">
        <v>522</v>
      </c>
      <c r="B201" s="0" t="s">
        <v>26</v>
      </c>
      <c r="C201" s="2" t="s">
        <v>523</v>
      </c>
      <c r="D201" s="2" t="s">
        <v>524</v>
      </c>
      <c r="E201" s="3" t="s">
        <v>43</v>
      </c>
      <c r="F201" s="3" t="s">
        <v>29</v>
      </c>
      <c r="G201" s="0" t="n">
        <v>1973</v>
      </c>
      <c r="H201" s="4" t="n">
        <v>59.73</v>
      </c>
      <c r="I201" s="4" t="n">
        <v>54.95</v>
      </c>
      <c r="J201" s="0" t="n">
        <v>291</v>
      </c>
      <c r="K201" s="3" t="s">
        <v>24</v>
      </c>
      <c r="L201" s="3" t="n">
        <f aca="false">IF(D201="","",IF(D201-C201&lt;0,"",D201-C201))</f>
        <v>15</v>
      </c>
      <c r="M201" s="4" t="n">
        <f aca="false">G201*I201</f>
        <v>108416.35</v>
      </c>
      <c r="N201" s="5" t="n">
        <f aca="false">IF(J201="","",J201/G201*100)</f>
        <v>14.749113025849</v>
      </c>
      <c r="O201" s="5" t="n">
        <f aca="false">(H201-I201)/H201*100</f>
        <v>8.00267872091076</v>
      </c>
      <c r="P201" s="3" t="n">
        <f aca="false">IF(OR(F201="Delivered",F201="Partially Delivered"),1,0)</f>
        <v>1</v>
      </c>
      <c r="Q201" s="3" t="n">
        <f aca="false">IF(F201="Cancelled",1,0)</f>
        <v>0</v>
      </c>
      <c r="R201" s="3" t="n">
        <f aca="false">IF(K201="Yes",1,0)</f>
        <v>1</v>
      </c>
    </row>
    <row r="202" customFormat="false" ht="15" hidden="false" customHeight="false" outlineLevel="0" collapsed="false">
      <c r="A202" s="0" t="s">
        <v>525</v>
      </c>
      <c r="B202" s="0" t="s">
        <v>46</v>
      </c>
      <c r="C202" s="2" t="s">
        <v>526</v>
      </c>
      <c r="D202" s="2" t="s">
        <v>527</v>
      </c>
      <c r="E202" s="3" t="s">
        <v>22</v>
      </c>
      <c r="F202" s="3" t="s">
        <v>29</v>
      </c>
      <c r="G202" s="0" t="n">
        <v>1807</v>
      </c>
      <c r="H202" s="4" t="n">
        <v>78.63</v>
      </c>
      <c r="I202" s="4" t="n">
        <v>73.08</v>
      </c>
      <c r="J202" s="0" t="n">
        <v>100</v>
      </c>
      <c r="K202" s="3" t="s">
        <v>24</v>
      </c>
      <c r="L202" s="3" t="n">
        <f aca="false">IF(D202="","",IF(D202-C202&lt;0,"",D202-C202))</f>
        <v>15</v>
      </c>
      <c r="M202" s="4" t="n">
        <f aca="false">G202*I202</f>
        <v>132055.56</v>
      </c>
      <c r="N202" s="5" t="n">
        <f aca="false">IF(J202="","",J202/G202*100)</f>
        <v>5.53403431101273</v>
      </c>
      <c r="O202" s="5" t="n">
        <f aca="false">(H202-I202)/H202*100</f>
        <v>7.05837466615795</v>
      </c>
      <c r="P202" s="3" t="n">
        <f aca="false">IF(OR(F202="Delivered",F202="Partially Delivered"),1,0)</f>
        <v>1</v>
      </c>
      <c r="Q202" s="3" t="n">
        <f aca="false">IF(F202="Cancelled",1,0)</f>
        <v>0</v>
      </c>
      <c r="R202" s="3" t="n">
        <f aca="false">IF(K202="Yes",1,0)</f>
        <v>1</v>
      </c>
    </row>
    <row r="203" customFormat="false" ht="15" hidden="false" customHeight="false" outlineLevel="0" collapsed="false">
      <c r="A203" s="0" t="s">
        <v>528</v>
      </c>
      <c r="B203" s="0" t="s">
        <v>46</v>
      </c>
      <c r="C203" s="2" t="s">
        <v>529</v>
      </c>
      <c r="D203" s="2" t="s">
        <v>530</v>
      </c>
      <c r="E203" s="3" t="s">
        <v>71</v>
      </c>
      <c r="F203" s="3" t="s">
        <v>29</v>
      </c>
      <c r="G203" s="0" t="n">
        <v>534</v>
      </c>
      <c r="H203" s="4" t="n">
        <v>13.88</v>
      </c>
      <c r="I203" s="4" t="n">
        <v>12.51</v>
      </c>
      <c r="J203" s="0" t="n">
        <v>100</v>
      </c>
      <c r="K203" s="3" t="s">
        <v>24</v>
      </c>
      <c r="L203" s="3" t="n">
        <f aca="false">IF(D203="","",IF(D203-C203&lt;0,"",D203-C203))</f>
        <v>1</v>
      </c>
      <c r="M203" s="4" t="n">
        <f aca="false">G203*I203</f>
        <v>6680.34</v>
      </c>
      <c r="N203" s="5" t="n">
        <f aca="false">IF(J203="","",J203/G203*100)</f>
        <v>18.7265917602996</v>
      </c>
      <c r="O203" s="5" t="n">
        <f aca="false">(H203-I203)/H203*100</f>
        <v>9.87031700288185</v>
      </c>
      <c r="P203" s="3" t="n">
        <f aca="false">IF(OR(F203="Delivered",F203="Partially Delivered"),1,0)</f>
        <v>1</v>
      </c>
      <c r="Q203" s="3" t="n">
        <f aca="false">IF(F203="Cancelled",1,0)</f>
        <v>0</v>
      </c>
      <c r="R203" s="3" t="n">
        <f aca="false">IF(K203="Yes",1,0)</f>
        <v>1</v>
      </c>
    </row>
    <row r="204" customFormat="false" ht="15" hidden="false" customHeight="false" outlineLevel="0" collapsed="false">
      <c r="A204" s="0" t="s">
        <v>531</v>
      </c>
      <c r="B204" s="0" t="s">
        <v>19</v>
      </c>
      <c r="C204" s="2" t="s">
        <v>336</v>
      </c>
      <c r="D204" s="2" t="s">
        <v>165</v>
      </c>
      <c r="E204" s="3" t="s">
        <v>71</v>
      </c>
      <c r="F204" s="3" t="s">
        <v>29</v>
      </c>
      <c r="G204" s="0" t="n">
        <v>1480</v>
      </c>
      <c r="H204" s="4" t="n">
        <v>85.22</v>
      </c>
      <c r="I204" s="4" t="n">
        <v>75.48</v>
      </c>
      <c r="J204" s="0" t="n">
        <v>100</v>
      </c>
      <c r="K204" s="3" t="s">
        <v>24</v>
      </c>
      <c r="L204" s="3" t="n">
        <f aca="false">IF(D204="","",IF(D204-C204&lt;0,"",D204-C204))</f>
        <v>15</v>
      </c>
      <c r="M204" s="4" t="n">
        <f aca="false">G204*I204</f>
        <v>111710.4</v>
      </c>
      <c r="N204" s="5" t="n">
        <f aca="false">IF(J204="","",J204/G204*100)</f>
        <v>6.75675675675676</v>
      </c>
      <c r="O204" s="5" t="n">
        <f aca="false">(H204-I204)/H204*100</f>
        <v>11.4292419619808</v>
      </c>
      <c r="P204" s="3" t="n">
        <f aca="false">IF(OR(F204="Delivered",F204="Partially Delivered"),1,0)</f>
        <v>1</v>
      </c>
      <c r="Q204" s="3" t="n">
        <f aca="false">IF(F204="Cancelled",1,0)</f>
        <v>0</v>
      </c>
      <c r="R204" s="3" t="n">
        <f aca="false">IF(K204="Yes",1,0)</f>
        <v>1</v>
      </c>
    </row>
    <row r="205" customFormat="false" ht="15" hidden="false" customHeight="false" outlineLevel="0" collapsed="false">
      <c r="A205" s="0" t="s">
        <v>532</v>
      </c>
      <c r="B205" s="0" t="s">
        <v>19</v>
      </c>
      <c r="C205" s="2" t="s">
        <v>533</v>
      </c>
      <c r="D205" s="2"/>
      <c r="E205" s="3" t="s">
        <v>22</v>
      </c>
      <c r="F205" s="3" t="s">
        <v>29</v>
      </c>
      <c r="G205" s="0" t="n">
        <v>280</v>
      </c>
      <c r="H205" s="4" t="n">
        <v>72.16</v>
      </c>
      <c r="I205" s="4" t="n">
        <v>62.38</v>
      </c>
      <c r="J205" s="0" t="n">
        <v>100</v>
      </c>
      <c r="K205" s="3" t="s">
        <v>24</v>
      </c>
      <c r="L205" s="0" t="str">
        <f aca="false">IF(D205="","",IF(D205-C205&lt;0,"",D205-C205))</f>
        <v/>
      </c>
      <c r="M205" s="4" t="n">
        <f aca="false">G205*I205</f>
        <v>17466.4</v>
      </c>
      <c r="N205" s="5" t="n">
        <f aca="false">IF(J205="","",J205/G205*100)</f>
        <v>35.7142857142857</v>
      </c>
      <c r="O205" s="5" t="n">
        <f aca="false">(H205-I205)/H205*100</f>
        <v>13.5532150776053</v>
      </c>
      <c r="P205" s="3" t="n">
        <f aca="false">IF(OR(F205="Delivered",F205="Partially Delivered"),1,0)</f>
        <v>1</v>
      </c>
      <c r="Q205" s="3" t="n">
        <f aca="false">IF(F205="Cancelled",1,0)</f>
        <v>0</v>
      </c>
      <c r="R205" s="3" t="n">
        <f aca="false">IF(K205="Yes",1,0)</f>
        <v>1</v>
      </c>
    </row>
    <row r="206" customFormat="false" ht="15" hidden="false" customHeight="false" outlineLevel="0" collapsed="false">
      <c r="A206" s="0" t="s">
        <v>534</v>
      </c>
      <c r="B206" s="0" t="s">
        <v>36</v>
      </c>
      <c r="C206" s="2" t="s">
        <v>535</v>
      </c>
      <c r="D206" s="2" t="s">
        <v>536</v>
      </c>
      <c r="E206" s="3" t="s">
        <v>22</v>
      </c>
      <c r="F206" s="3" t="s">
        <v>23</v>
      </c>
      <c r="G206" s="0" t="n">
        <v>798</v>
      </c>
      <c r="H206" s="4" t="n">
        <v>19.09</v>
      </c>
      <c r="I206" s="4" t="n">
        <v>17.76</v>
      </c>
      <c r="J206" s="0" t="n">
        <v>100</v>
      </c>
      <c r="K206" s="3" t="s">
        <v>24</v>
      </c>
      <c r="L206" s="3" t="n">
        <f aca="false">IF(D206="","",IF(D206-C206&lt;0,"",D206-C206))</f>
        <v>6</v>
      </c>
      <c r="M206" s="4" t="n">
        <f aca="false">G206*I206</f>
        <v>14172.48</v>
      </c>
      <c r="N206" s="5" t="n">
        <f aca="false">IF(J206="","",J206/G206*100)</f>
        <v>12.531328320802</v>
      </c>
      <c r="O206" s="5" t="n">
        <f aca="false">(H206-I206)/H206*100</f>
        <v>6.96699842849659</v>
      </c>
      <c r="P206" s="3" t="n">
        <f aca="false">IF(OR(F206="Delivered",F206="Partially Delivered"),1,0)</f>
        <v>0</v>
      </c>
      <c r="Q206" s="3" t="n">
        <f aca="false">IF(F206="Cancelled",1,0)</f>
        <v>1</v>
      </c>
      <c r="R206" s="3" t="n">
        <f aca="false">IF(K206="Yes",1,0)</f>
        <v>1</v>
      </c>
    </row>
    <row r="207" customFormat="false" ht="15" hidden="false" customHeight="false" outlineLevel="0" collapsed="false">
      <c r="A207" s="0" t="s">
        <v>537</v>
      </c>
      <c r="B207" s="0" t="s">
        <v>46</v>
      </c>
      <c r="C207" s="2" t="s">
        <v>538</v>
      </c>
      <c r="D207" s="2" t="s">
        <v>431</v>
      </c>
      <c r="E207" s="3" t="s">
        <v>71</v>
      </c>
      <c r="F207" s="3" t="s">
        <v>29</v>
      </c>
      <c r="G207" s="0" t="n">
        <v>1728</v>
      </c>
      <c r="H207" s="4" t="n">
        <v>94.83</v>
      </c>
      <c r="I207" s="4" t="n">
        <v>90.2</v>
      </c>
      <c r="J207" s="0" t="n">
        <v>100</v>
      </c>
      <c r="K207" s="3" t="s">
        <v>24</v>
      </c>
      <c r="L207" s="3" t="n">
        <f aca="false">IF(D207="","",IF(D207-C207&lt;0,"",D207-C207))</f>
        <v>12</v>
      </c>
      <c r="M207" s="4" t="n">
        <f aca="false">G207*I207</f>
        <v>155865.6</v>
      </c>
      <c r="N207" s="5" t="n">
        <f aca="false">IF(J207="","",J207/G207*100)</f>
        <v>5.78703703703704</v>
      </c>
      <c r="O207" s="5" t="n">
        <f aca="false">(H207-I207)/H207*100</f>
        <v>4.88242117473373</v>
      </c>
      <c r="P207" s="3" t="n">
        <f aca="false">IF(OR(F207="Delivered",F207="Partially Delivered"),1,0)</f>
        <v>1</v>
      </c>
      <c r="Q207" s="3" t="n">
        <f aca="false">IF(F207="Cancelled",1,0)</f>
        <v>0</v>
      </c>
      <c r="R207" s="3" t="n">
        <f aca="false">IF(K207="Yes",1,0)</f>
        <v>1</v>
      </c>
    </row>
    <row r="208" customFormat="false" ht="15" hidden="false" customHeight="false" outlineLevel="0" collapsed="false">
      <c r="A208" s="0" t="s">
        <v>539</v>
      </c>
      <c r="B208" s="0" t="s">
        <v>46</v>
      </c>
      <c r="C208" s="2" t="s">
        <v>313</v>
      </c>
      <c r="D208" s="2"/>
      <c r="E208" s="3" t="s">
        <v>34</v>
      </c>
      <c r="F208" s="3" t="s">
        <v>29</v>
      </c>
      <c r="G208" s="0" t="n">
        <v>1244</v>
      </c>
      <c r="H208" s="4" t="n">
        <v>96.13</v>
      </c>
      <c r="I208" s="4" t="n">
        <v>84.78</v>
      </c>
      <c r="J208" s="0" t="n">
        <v>43</v>
      </c>
      <c r="K208" s="3" t="s">
        <v>24</v>
      </c>
      <c r="L208" s="0" t="str">
        <f aca="false">IF(D208="","",IF(D208-C208&lt;0,"",D208-C208))</f>
        <v/>
      </c>
      <c r="M208" s="4" t="n">
        <f aca="false">G208*I208</f>
        <v>105466.32</v>
      </c>
      <c r="N208" s="5" t="n">
        <f aca="false">IF(J208="","",J208/G208*100)</f>
        <v>3.45659163987138</v>
      </c>
      <c r="O208" s="5" t="n">
        <f aca="false">(H208-I208)/H208*100</f>
        <v>11.8069281181733</v>
      </c>
      <c r="P208" s="3" t="n">
        <f aca="false">IF(OR(F208="Delivered",F208="Partially Delivered"),1,0)</f>
        <v>1</v>
      </c>
      <c r="Q208" s="3" t="n">
        <f aca="false">IF(F208="Cancelled",1,0)</f>
        <v>0</v>
      </c>
      <c r="R208" s="3" t="n">
        <f aca="false">IF(K208="Yes",1,0)</f>
        <v>1</v>
      </c>
    </row>
    <row r="209" customFormat="false" ht="15" hidden="false" customHeight="false" outlineLevel="0" collapsed="false">
      <c r="A209" s="0" t="s">
        <v>540</v>
      </c>
      <c r="B209" s="0" t="s">
        <v>36</v>
      </c>
      <c r="C209" s="2" t="s">
        <v>472</v>
      </c>
      <c r="D209" s="2" t="s">
        <v>408</v>
      </c>
      <c r="E209" s="3" t="s">
        <v>22</v>
      </c>
      <c r="F209" s="3" t="s">
        <v>29</v>
      </c>
      <c r="G209" s="0" t="n">
        <v>590</v>
      </c>
      <c r="H209" s="4" t="n">
        <v>16.89</v>
      </c>
      <c r="I209" s="4" t="n">
        <v>15.56</v>
      </c>
      <c r="J209" s="0" t="n">
        <v>46</v>
      </c>
      <c r="K209" s="3" t="s">
        <v>44</v>
      </c>
      <c r="L209" s="3" t="n">
        <f aca="false">IF(D209="","",IF(D209-C209&lt;0,"",D209-C209))</f>
        <v>14</v>
      </c>
      <c r="M209" s="4" t="n">
        <f aca="false">G209*I209</f>
        <v>9180.4</v>
      </c>
      <c r="N209" s="5" t="n">
        <f aca="false">IF(J209="","",J209/G209*100)</f>
        <v>7.79661016949153</v>
      </c>
      <c r="O209" s="5" t="n">
        <f aca="false">(H209-I209)/H209*100</f>
        <v>7.8744819419775</v>
      </c>
      <c r="P209" s="3" t="n">
        <f aca="false">IF(OR(F209="Delivered",F209="Partially Delivered"),1,0)</f>
        <v>1</v>
      </c>
      <c r="Q209" s="3" t="n">
        <f aca="false">IF(F209="Cancelled",1,0)</f>
        <v>0</v>
      </c>
      <c r="R209" s="3" t="n">
        <f aca="false">IF(K209="Yes",1,0)</f>
        <v>0</v>
      </c>
    </row>
    <row r="210" customFormat="false" ht="15" hidden="false" customHeight="false" outlineLevel="0" collapsed="false">
      <c r="A210" s="0" t="s">
        <v>541</v>
      </c>
      <c r="B210" s="0" t="s">
        <v>26</v>
      </c>
      <c r="C210" s="2" t="s">
        <v>542</v>
      </c>
      <c r="D210" s="2" t="s">
        <v>201</v>
      </c>
      <c r="E210" s="3" t="s">
        <v>39</v>
      </c>
      <c r="F210" s="3" t="s">
        <v>29</v>
      </c>
      <c r="G210" s="0" t="n">
        <v>1109</v>
      </c>
      <c r="H210" s="4" t="n">
        <v>38.93</v>
      </c>
      <c r="I210" s="4" t="n">
        <v>33.33</v>
      </c>
      <c r="J210" s="0" t="n">
        <v>152</v>
      </c>
      <c r="K210" s="3" t="s">
        <v>24</v>
      </c>
      <c r="L210" s="3" t="n">
        <f aca="false">IF(D210="","",IF(D210-C210&lt;0,"",D210-C210))</f>
        <v>15</v>
      </c>
      <c r="M210" s="4" t="n">
        <f aca="false">G210*I210</f>
        <v>36962.97</v>
      </c>
      <c r="N210" s="5" t="n">
        <f aca="false">IF(J210="","",J210/G210*100)</f>
        <v>13.7060414788097</v>
      </c>
      <c r="O210" s="5" t="n">
        <f aca="false">(H210-I210)/H210*100</f>
        <v>14.3847932185975</v>
      </c>
      <c r="P210" s="3" t="n">
        <f aca="false">IF(OR(F210="Delivered",F210="Partially Delivered"),1,0)</f>
        <v>1</v>
      </c>
      <c r="Q210" s="3" t="n">
        <f aca="false">IF(F210="Cancelled",1,0)</f>
        <v>0</v>
      </c>
      <c r="R210" s="3" t="n">
        <f aca="false">IF(K210="Yes",1,0)</f>
        <v>1</v>
      </c>
    </row>
    <row r="211" customFormat="false" ht="15" hidden="false" customHeight="false" outlineLevel="0" collapsed="false">
      <c r="A211" s="0" t="s">
        <v>543</v>
      </c>
      <c r="B211" s="0" t="s">
        <v>36</v>
      </c>
      <c r="C211" s="2" t="s">
        <v>544</v>
      </c>
      <c r="D211" s="2" t="s">
        <v>199</v>
      </c>
      <c r="E211" s="3" t="s">
        <v>34</v>
      </c>
      <c r="F211" s="3" t="s">
        <v>29</v>
      </c>
      <c r="G211" s="0" t="n">
        <v>574</v>
      </c>
      <c r="H211" s="4" t="n">
        <v>85.03</v>
      </c>
      <c r="I211" s="4" t="n">
        <v>82.55</v>
      </c>
      <c r="J211" s="0" t="n">
        <v>54</v>
      </c>
      <c r="K211" s="3" t="s">
        <v>24</v>
      </c>
      <c r="L211" s="3" t="n">
        <f aca="false">IF(D211="","",IF(D211-C211&lt;0,"",D211-C211))</f>
        <v>7</v>
      </c>
      <c r="M211" s="4" t="n">
        <f aca="false">G211*I211</f>
        <v>47383.7</v>
      </c>
      <c r="N211" s="5" t="n">
        <f aca="false">IF(J211="","",J211/G211*100)</f>
        <v>9.40766550522648</v>
      </c>
      <c r="O211" s="5" t="n">
        <f aca="false">(H211-I211)/H211*100</f>
        <v>2.91661766435376</v>
      </c>
      <c r="P211" s="3" t="n">
        <f aca="false">IF(OR(F211="Delivered",F211="Partially Delivered"),1,0)</f>
        <v>1</v>
      </c>
      <c r="Q211" s="3" t="n">
        <f aca="false">IF(F211="Cancelled",1,0)</f>
        <v>0</v>
      </c>
      <c r="R211" s="3" t="n">
        <f aca="false">IF(K211="Yes",1,0)</f>
        <v>1</v>
      </c>
    </row>
    <row r="212" customFormat="false" ht="15" hidden="false" customHeight="false" outlineLevel="0" collapsed="false">
      <c r="A212" s="0" t="s">
        <v>545</v>
      </c>
      <c r="B212" s="0" t="s">
        <v>31</v>
      </c>
      <c r="C212" s="2" t="s">
        <v>106</v>
      </c>
      <c r="D212" s="2"/>
      <c r="E212" s="3" t="s">
        <v>22</v>
      </c>
      <c r="F212" s="3" t="s">
        <v>29</v>
      </c>
      <c r="G212" s="0" t="n">
        <v>1233</v>
      </c>
      <c r="H212" s="4" t="n">
        <v>86.62</v>
      </c>
      <c r="I212" s="4" t="n">
        <v>76.59</v>
      </c>
      <c r="J212" s="0" t="n">
        <v>65</v>
      </c>
      <c r="K212" s="3" t="s">
        <v>24</v>
      </c>
      <c r="L212" s="0" t="str">
        <f aca="false">IF(D212="","",IF(D212-C212&lt;0,"",D212-C212))</f>
        <v/>
      </c>
      <c r="M212" s="4" t="n">
        <f aca="false">G212*I212</f>
        <v>94435.47</v>
      </c>
      <c r="N212" s="5" t="n">
        <f aca="false">IF(J212="","",J212/G212*100)</f>
        <v>5.27169505271695</v>
      </c>
      <c r="O212" s="5" t="n">
        <f aca="false">(H212-I212)/H212*100</f>
        <v>11.579311937197</v>
      </c>
      <c r="P212" s="3" t="n">
        <f aca="false">IF(OR(F212="Delivered",F212="Partially Delivered"),1,0)</f>
        <v>1</v>
      </c>
      <c r="Q212" s="3" t="n">
        <f aca="false">IF(F212="Cancelled",1,0)</f>
        <v>0</v>
      </c>
      <c r="R212" s="3" t="n">
        <f aca="false">IF(K212="Yes",1,0)</f>
        <v>1</v>
      </c>
    </row>
    <row r="213" customFormat="false" ht="15" hidden="false" customHeight="false" outlineLevel="0" collapsed="false">
      <c r="A213" s="0" t="s">
        <v>546</v>
      </c>
      <c r="B213" s="0" t="s">
        <v>31</v>
      </c>
      <c r="C213" s="2" t="s">
        <v>547</v>
      </c>
      <c r="D213" s="2" t="s">
        <v>301</v>
      </c>
      <c r="E213" s="3" t="s">
        <v>39</v>
      </c>
      <c r="F213" s="3" t="s">
        <v>29</v>
      </c>
      <c r="G213" s="0" t="n">
        <v>1912</v>
      </c>
      <c r="H213" s="4" t="n">
        <v>27.94</v>
      </c>
      <c r="I213" s="4" t="n">
        <v>25.59</v>
      </c>
      <c r="J213" s="0" t="n">
        <v>83</v>
      </c>
      <c r="K213" s="3" t="s">
        <v>44</v>
      </c>
      <c r="L213" s="3" t="n">
        <f aca="false">IF(D213="","",IF(D213-C213&lt;0,"",D213-C213))</f>
        <v>4</v>
      </c>
      <c r="M213" s="4" t="n">
        <f aca="false">G213*I213</f>
        <v>48928.08</v>
      </c>
      <c r="N213" s="5" t="n">
        <f aca="false">IF(J213="","",J213/G213*100)</f>
        <v>4.34100418410042</v>
      </c>
      <c r="O213" s="5" t="n">
        <f aca="false">(H213-I213)/H213*100</f>
        <v>8.41088045812456</v>
      </c>
      <c r="P213" s="3" t="n">
        <f aca="false">IF(OR(F213="Delivered",F213="Partially Delivered"),1,0)</f>
        <v>1</v>
      </c>
      <c r="Q213" s="3" t="n">
        <f aca="false">IF(F213="Cancelled",1,0)</f>
        <v>0</v>
      </c>
      <c r="R213" s="3" t="n">
        <f aca="false">IF(K213="Yes",1,0)</f>
        <v>0</v>
      </c>
    </row>
    <row r="214" customFormat="false" ht="15" hidden="false" customHeight="false" outlineLevel="0" collapsed="false">
      <c r="A214" s="0" t="s">
        <v>548</v>
      </c>
      <c r="B214" s="0" t="s">
        <v>19</v>
      </c>
      <c r="C214" s="2" t="s">
        <v>359</v>
      </c>
      <c r="D214" s="2" t="s">
        <v>549</v>
      </c>
      <c r="E214" s="3" t="s">
        <v>39</v>
      </c>
      <c r="F214" s="3" t="s">
        <v>29</v>
      </c>
      <c r="G214" s="0" t="n">
        <v>1772</v>
      </c>
      <c r="H214" s="4" t="n">
        <v>30.72</v>
      </c>
      <c r="I214" s="4" t="n">
        <v>27.76</v>
      </c>
      <c r="J214" s="0" t="n">
        <v>46</v>
      </c>
      <c r="K214" s="3" t="s">
        <v>44</v>
      </c>
      <c r="L214" s="3" t="n">
        <f aca="false">IF(D214="","",IF(D214-C214&lt;0,"",D214-C214))</f>
        <v>19</v>
      </c>
      <c r="M214" s="4" t="n">
        <f aca="false">G214*I214</f>
        <v>49190.72</v>
      </c>
      <c r="N214" s="5" t="n">
        <f aca="false">IF(J214="","",J214/G214*100)</f>
        <v>2.59593679458239</v>
      </c>
      <c r="O214" s="5" t="n">
        <f aca="false">(H214-I214)/H214*100</f>
        <v>9.63541666666666</v>
      </c>
      <c r="P214" s="3" t="n">
        <f aca="false">IF(OR(F214="Delivered",F214="Partially Delivered"),1,0)</f>
        <v>1</v>
      </c>
      <c r="Q214" s="3" t="n">
        <f aca="false">IF(F214="Cancelled",1,0)</f>
        <v>0</v>
      </c>
      <c r="R214" s="3" t="n">
        <f aca="false">IF(K214="Yes",1,0)</f>
        <v>0</v>
      </c>
    </row>
    <row r="215" customFormat="false" ht="15" hidden="false" customHeight="false" outlineLevel="0" collapsed="false">
      <c r="A215" s="0" t="s">
        <v>550</v>
      </c>
      <c r="B215" s="0" t="s">
        <v>36</v>
      </c>
      <c r="C215" s="2" t="s">
        <v>551</v>
      </c>
      <c r="D215" s="2" t="s">
        <v>552</v>
      </c>
      <c r="E215" s="3" t="s">
        <v>22</v>
      </c>
      <c r="F215" s="3" t="s">
        <v>29</v>
      </c>
      <c r="G215" s="0" t="n">
        <v>1316</v>
      </c>
      <c r="H215" s="4" t="n">
        <v>48.11</v>
      </c>
      <c r="I215" s="4" t="n">
        <v>41.9</v>
      </c>
      <c r="J215" s="0" t="n">
        <v>135</v>
      </c>
      <c r="K215" s="3" t="s">
        <v>24</v>
      </c>
      <c r="L215" s="3" t="n">
        <f aca="false">IF(D215="","",IF(D215-C215&lt;0,"",D215-C215))</f>
        <v>10</v>
      </c>
      <c r="M215" s="4" t="n">
        <f aca="false">G215*I215</f>
        <v>55140.4</v>
      </c>
      <c r="N215" s="5" t="n">
        <f aca="false">IF(J215="","",J215/G215*100)</f>
        <v>10.258358662614</v>
      </c>
      <c r="O215" s="5" t="n">
        <f aca="false">(H215-I215)/H215*100</f>
        <v>12.9079193514862</v>
      </c>
      <c r="P215" s="3" t="n">
        <f aca="false">IF(OR(F215="Delivered",F215="Partially Delivered"),1,0)</f>
        <v>1</v>
      </c>
      <c r="Q215" s="3" t="n">
        <f aca="false">IF(F215="Cancelled",1,0)</f>
        <v>0</v>
      </c>
      <c r="R215" s="3" t="n">
        <f aca="false">IF(K215="Yes",1,0)</f>
        <v>1</v>
      </c>
    </row>
    <row r="216" customFormat="false" ht="15" hidden="false" customHeight="false" outlineLevel="0" collapsed="false">
      <c r="A216" s="0" t="s">
        <v>553</v>
      </c>
      <c r="B216" s="0" t="s">
        <v>36</v>
      </c>
      <c r="C216" s="2" t="s">
        <v>102</v>
      </c>
      <c r="D216" s="2"/>
      <c r="E216" s="3" t="s">
        <v>22</v>
      </c>
      <c r="F216" s="3" t="s">
        <v>29</v>
      </c>
      <c r="G216" s="0" t="n">
        <v>1159</v>
      </c>
      <c r="H216" s="4" t="n">
        <v>59.24</v>
      </c>
      <c r="I216" s="4" t="n">
        <v>58.08</v>
      </c>
      <c r="K216" s="3" t="s">
        <v>24</v>
      </c>
      <c r="L216" s="0" t="str">
        <f aca="false">IF(D216="","",IF(D216-C216&lt;0,"",D216-C216))</f>
        <v/>
      </c>
      <c r="M216" s="4" t="n">
        <f aca="false">G216*I216</f>
        <v>67314.72</v>
      </c>
      <c r="N216" s="5" t="str">
        <f aca="false">IF(J216="","",J216/G216*100)</f>
        <v/>
      </c>
      <c r="O216" s="5" t="n">
        <f aca="false">(H216-I216)/H216*100</f>
        <v>1.95813639432816</v>
      </c>
      <c r="P216" s="3" t="n">
        <f aca="false">IF(OR(F216="Delivered",F216="Partially Delivered"),1,0)</f>
        <v>1</v>
      </c>
      <c r="Q216" s="3" t="n">
        <f aca="false">IF(F216="Cancelled",1,0)</f>
        <v>0</v>
      </c>
      <c r="R216" s="3" t="n">
        <f aca="false">IF(K216="Yes",1,0)</f>
        <v>1</v>
      </c>
    </row>
    <row r="217" customFormat="false" ht="15" hidden="false" customHeight="false" outlineLevel="0" collapsed="false">
      <c r="A217" s="0" t="s">
        <v>554</v>
      </c>
      <c r="B217" s="0" t="s">
        <v>19</v>
      </c>
      <c r="C217" s="2" t="s">
        <v>466</v>
      </c>
      <c r="D217" s="2" t="s">
        <v>555</v>
      </c>
      <c r="E217" s="3" t="s">
        <v>22</v>
      </c>
      <c r="F217" s="3" t="s">
        <v>29</v>
      </c>
      <c r="G217" s="0" t="n">
        <v>1869</v>
      </c>
      <c r="H217" s="4" t="n">
        <v>69.58</v>
      </c>
      <c r="I217" s="4" t="n">
        <v>67.5</v>
      </c>
      <c r="J217" s="0" t="n">
        <v>31</v>
      </c>
      <c r="K217" s="3" t="s">
        <v>24</v>
      </c>
      <c r="L217" s="3" t="n">
        <f aca="false">IF(D217="","",IF(D217-C217&lt;0,"",D217-C217))</f>
        <v>13</v>
      </c>
      <c r="M217" s="4" t="n">
        <f aca="false">G217*I217</f>
        <v>126157.5</v>
      </c>
      <c r="N217" s="5" t="n">
        <f aca="false">IF(J217="","",J217/G217*100)</f>
        <v>1.65864098448368</v>
      </c>
      <c r="O217" s="5" t="n">
        <f aca="false">(H217-I217)/H217*100</f>
        <v>2.9893647599885</v>
      </c>
      <c r="P217" s="3" t="n">
        <f aca="false">IF(OR(F217="Delivered",F217="Partially Delivered"),1,0)</f>
        <v>1</v>
      </c>
      <c r="Q217" s="3" t="n">
        <f aca="false">IF(F217="Cancelled",1,0)</f>
        <v>0</v>
      </c>
      <c r="R217" s="3" t="n">
        <f aca="false">IF(K217="Yes",1,0)</f>
        <v>1</v>
      </c>
    </row>
    <row r="218" customFormat="false" ht="15" hidden="false" customHeight="false" outlineLevel="0" collapsed="false">
      <c r="A218" s="0" t="s">
        <v>556</v>
      </c>
      <c r="B218" s="0" t="s">
        <v>26</v>
      </c>
      <c r="C218" s="2" t="s">
        <v>557</v>
      </c>
      <c r="D218" s="2" t="s">
        <v>558</v>
      </c>
      <c r="E218" s="3" t="s">
        <v>39</v>
      </c>
      <c r="F218" s="3" t="s">
        <v>29</v>
      </c>
      <c r="G218" s="0" t="n">
        <v>627</v>
      </c>
      <c r="H218" s="4" t="n">
        <v>46.23</v>
      </c>
      <c r="I218" s="4" t="n">
        <v>42.87</v>
      </c>
      <c r="K218" s="3" t="s">
        <v>24</v>
      </c>
      <c r="L218" s="3" t="n">
        <f aca="false">IF(D218="","",IF(D218-C218&lt;0,"",D218-C218))</f>
        <v>19</v>
      </c>
      <c r="M218" s="4" t="n">
        <f aca="false">G218*I218</f>
        <v>26879.49</v>
      </c>
      <c r="N218" s="5" t="str">
        <f aca="false">IF(J218="","",J218/G218*100)</f>
        <v/>
      </c>
      <c r="O218" s="5" t="n">
        <f aca="false">(H218-I218)/H218*100</f>
        <v>7.2680077871512</v>
      </c>
      <c r="P218" s="3" t="n">
        <f aca="false">IF(OR(F218="Delivered",F218="Partially Delivered"),1,0)</f>
        <v>1</v>
      </c>
      <c r="Q218" s="3" t="n">
        <f aca="false">IF(F218="Cancelled",1,0)</f>
        <v>0</v>
      </c>
      <c r="R218" s="3" t="n">
        <f aca="false">IF(K218="Yes",1,0)</f>
        <v>1</v>
      </c>
    </row>
    <row r="219" customFormat="false" ht="15" hidden="false" customHeight="false" outlineLevel="0" collapsed="false">
      <c r="A219" s="0" t="s">
        <v>559</v>
      </c>
      <c r="B219" s="0" t="s">
        <v>36</v>
      </c>
      <c r="C219" s="2" t="s">
        <v>560</v>
      </c>
      <c r="D219" s="2" t="s">
        <v>561</v>
      </c>
      <c r="E219" s="3" t="s">
        <v>43</v>
      </c>
      <c r="F219" s="3" t="s">
        <v>62</v>
      </c>
      <c r="G219" s="0" t="n">
        <v>731</v>
      </c>
      <c r="H219" s="4" t="n">
        <v>56.02</v>
      </c>
      <c r="I219" s="4" t="n">
        <v>54.78</v>
      </c>
      <c r="J219" s="0" t="n">
        <v>70</v>
      </c>
      <c r="K219" s="3" t="s">
        <v>44</v>
      </c>
      <c r="L219" s="3" t="n">
        <f aca="false">IF(D219="","",IF(D219-C219&lt;0,"",D219-C219))</f>
        <v>2</v>
      </c>
      <c r="M219" s="4" t="n">
        <f aca="false">G219*I219</f>
        <v>40044.18</v>
      </c>
      <c r="N219" s="5" t="n">
        <f aca="false">IF(J219="","",J219/G219*100)</f>
        <v>9.57592339261286</v>
      </c>
      <c r="O219" s="5" t="n">
        <f aca="false">(H219-I219)/H219*100</f>
        <v>2.21349518029276</v>
      </c>
      <c r="P219" s="3" t="n">
        <f aca="false">IF(OR(F219="Delivered",F219="Partially Delivered"),1,0)</f>
        <v>0</v>
      </c>
      <c r="Q219" s="3" t="n">
        <f aca="false">IF(F219="Cancelled",1,0)</f>
        <v>0</v>
      </c>
      <c r="R219" s="3" t="n">
        <f aca="false">IF(K219="Yes",1,0)</f>
        <v>0</v>
      </c>
    </row>
    <row r="220" customFormat="false" ht="15" hidden="false" customHeight="false" outlineLevel="0" collapsed="false">
      <c r="A220" s="0" t="s">
        <v>562</v>
      </c>
      <c r="B220" s="0" t="s">
        <v>46</v>
      </c>
      <c r="C220" s="2" t="s">
        <v>563</v>
      </c>
      <c r="D220" s="2"/>
      <c r="E220" s="3" t="s">
        <v>22</v>
      </c>
      <c r="F220" s="3" t="s">
        <v>23</v>
      </c>
      <c r="G220" s="0" t="n">
        <v>606</v>
      </c>
      <c r="H220" s="4" t="n">
        <v>83.07</v>
      </c>
      <c r="I220" s="4" t="n">
        <v>79.22</v>
      </c>
      <c r="J220" s="0" t="n">
        <v>16</v>
      </c>
      <c r="K220" s="3" t="s">
        <v>24</v>
      </c>
      <c r="L220" s="0" t="str">
        <f aca="false">IF(D220="","",IF(D220-C220&lt;0,"",D220-C220))</f>
        <v/>
      </c>
      <c r="M220" s="4" t="n">
        <f aca="false">G220*I220</f>
        <v>48007.32</v>
      </c>
      <c r="N220" s="5" t="n">
        <f aca="false">IF(J220="","",J220/G220*100)</f>
        <v>2.64026402640264</v>
      </c>
      <c r="O220" s="5" t="n">
        <f aca="false">(H220-I220)/H220*100</f>
        <v>4.6346454797159</v>
      </c>
      <c r="P220" s="3" t="n">
        <f aca="false">IF(OR(F220="Delivered",F220="Partially Delivered"),1,0)</f>
        <v>0</v>
      </c>
      <c r="Q220" s="3" t="n">
        <f aca="false">IF(F220="Cancelled",1,0)</f>
        <v>1</v>
      </c>
      <c r="R220" s="3" t="n">
        <f aca="false">IF(K220="Yes",1,0)</f>
        <v>1</v>
      </c>
    </row>
    <row r="221" customFormat="false" ht="15" hidden="false" customHeight="false" outlineLevel="0" collapsed="false">
      <c r="A221" s="0" t="s">
        <v>564</v>
      </c>
      <c r="B221" s="0" t="s">
        <v>36</v>
      </c>
      <c r="C221" s="2" t="s">
        <v>565</v>
      </c>
      <c r="D221" s="2" t="s">
        <v>566</v>
      </c>
      <c r="E221" s="3" t="s">
        <v>22</v>
      </c>
      <c r="F221" s="3" t="s">
        <v>29</v>
      </c>
      <c r="G221" s="0" t="n">
        <v>1647</v>
      </c>
      <c r="H221" s="4" t="n">
        <v>13.57</v>
      </c>
      <c r="I221" s="4" t="n">
        <v>12.33</v>
      </c>
      <c r="J221" s="0" t="n">
        <v>157</v>
      </c>
      <c r="K221" s="3" t="s">
        <v>24</v>
      </c>
      <c r="L221" s="3" t="n">
        <f aca="false">IF(D221="","",IF(D221-C221&lt;0,"",D221-C221))</f>
        <v>10</v>
      </c>
      <c r="M221" s="4" t="n">
        <f aca="false">G221*I221</f>
        <v>20307.51</v>
      </c>
      <c r="N221" s="5" t="n">
        <f aca="false">IF(J221="","",J221/G221*100)</f>
        <v>9.53248330297511</v>
      </c>
      <c r="O221" s="5" t="n">
        <f aca="false">(H221-I221)/H221*100</f>
        <v>9.13780397936625</v>
      </c>
      <c r="P221" s="3" t="n">
        <f aca="false">IF(OR(F221="Delivered",F221="Partially Delivered"),1,0)</f>
        <v>1</v>
      </c>
      <c r="Q221" s="3" t="n">
        <f aca="false">IF(F221="Cancelled",1,0)</f>
        <v>0</v>
      </c>
      <c r="R221" s="3" t="n">
        <f aca="false">IF(K221="Yes",1,0)</f>
        <v>1</v>
      </c>
    </row>
    <row r="222" customFormat="false" ht="15" hidden="false" customHeight="false" outlineLevel="0" collapsed="false">
      <c r="A222" s="0" t="s">
        <v>567</v>
      </c>
      <c r="B222" s="0" t="s">
        <v>26</v>
      </c>
      <c r="C222" s="2" t="s">
        <v>568</v>
      </c>
      <c r="D222" s="2" t="s">
        <v>569</v>
      </c>
      <c r="E222" s="3" t="s">
        <v>34</v>
      </c>
      <c r="F222" s="3" t="s">
        <v>29</v>
      </c>
      <c r="G222" s="0" t="n">
        <v>1062</v>
      </c>
      <c r="H222" s="4" t="n">
        <v>34.03</v>
      </c>
      <c r="I222" s="4" t="n">
        <v>30.46</v>
      </c>
      <c r="K222" s="3" t="s">
        <v>24</v>
      </c>
      <c r="L222" s="3" t="n">
        <f aca="false">IF(D222="","",IF(D222-C222&lt;0,"",D222-C222))</f>
        <v>8</v>
      </c>
      <c r="M222" s="4" t="n">
        <f aca="false">G222*I222</f>
        <v>32348.52</v>
      </c>
      <c r="N222" s="5" t="str">
        <f aca="false">IF(J222="","",J222/G222*100)</f>
        <v/>
      </c>
      <c r="O222" s="5" t="n">
        <f aca="false">(H222-I222)/H222*100</f>
        <v>10.4907434616515</v>
      </c>
      <c r="P222" s="3" t="n">
        <f aca="false">IF(OR(F222="Delivered",F222="Partially Delivered"),1,0)</f>
        <v>1</v>
      </c>
      <c r="Q222" s="3" t="n">
        <f aca="false">IF(F222="Cancelled",1,0)</f>
        <v>0</v>
      </c>
      <c r="R222" s="3" t="n">
        <f aca="false">IF(K222="Yes",1,0)</f>
        <v>1</v>
      </c>
    </row>
    <row r="223" customFormat="false" ht="15" hidden="false" customHeight="false" outlineLevel="0" collapsed="false">
      <c r="A223" s="0" t="s">
        <v>570</v>
      </c>
      <c r="B223" s="0" t="s">
        <v>36</v>
      </c>
      <c r="C223" s="2" t="s">
        <v>571</v>
      </c>
      <c r="D223" s="2" t="s">
        <v>82</v>
      </c>
      <c r="E223" s="3" t="s">
        <v>22</v>
      </c>
      <c r="F223" s="3" t="s">
        <v>29</v>
      </c>
      <c r="G223" s="0" t="n">
        <v>695</v>
      </c>
      <c r="H223" s="4" t="n">
        <v>76.8</v>
      </c>
      <c r="I223" s="4" t="n">
        <v>69.76</v>
      </c>
      <c r="K223" s="3" t="s">
        <v>44</v>
      </c>
      <c r="L223" s="3" t="n">
        <f aca="false">IF(D223="","",IF(D223-C223&lt;0,"",D223-C223))</f>
        <v>12</v>
      </c>
      <c r="M223" s="4" t="n">
        <f aca="false">G223*I223</f>
        <v>48483.2</v>
      </c>
      <c r="N223" s="5" t="str">
        <f aca="false">IF(J223="","",J223/G223*100)</f>
        <v/>
      </c>
      <c r="O223" s="5" t="n">
        <f aca="false">(H223-I223)/H223*100</f>
        <v>9.16666666666666</v>
      </c>
      <c r="P223" s="3" t="n">
        <f aca="false">IF(OR(F223="Delivered",F223="Partially Delivered"),1,0)</f>
        <v>1</v>
      </c>
      <c r="Q223" s="3" t="n">
        <f aca="false">IF(F223="Cancelled",1,0)</f>
        <v>0</v>
      </c>
      <c r="R223" s="3" t="n">
        <f aca="false">IF(K223="Yes",1,0)</f>
        <v>0</v>
      </c>
    </row>
    <row r="224" customFormat="false" ht="15" hidden="false" customHeight="false" outlineLevel="0" collapsed="false">
      <c r="A224" s="0" t="s">
        <v>572</v>
      </c>
      <c r="B224" s="0" t="s">
        <v>46</v>
      </c>
      <c r="C224" s="2" t="s">
        <v>392</v>
      </c>
      <c r="D224" s="2" t="s">
        <v>573</v>
      </c>
      <c r="E224" s="3" t="s">
        <v>34</v>
      </c>
      <c r="F224" s="3" t="s">
        <v>29</v>
      </c>
      <c r="G224" s="0" t="n">
        <v>845</v>
      </c>
      <c r="H224" s="4" t="n">
        <v>91.47</v>
      </c>
      <c r="I224" s="4" t="n">
        <v>86.97</v>
      </c>
      <c r="K224" s="3" t="s">
        <v>24</v>
      </c>
      <c r="L224" s="3" t="n">
        <f aca="false">IF(D224="","",IF(D224-C224&lt;0,"",D224-C224))</f>
        <v>7</v>
      </c>
      <c r="M224" s="4" t="n">
        <f aca="false">G224*I224</f>
        <v>73489.65</v>
      </c>
      <c r="N224" s="5" t="str">
        <f aca="false">IF(J224="","",J224/G224*100)</f>
        <v/>
      </c>
      <c r="O224" s="5" t="n">
        <f aca="false">(H224-I224)/H224*100</f>
        <v>4.91964578550344</v>
      </c>
      <c r="P224" s="3" t="n">
        <f aca="false">IF(OR(F224="Delivered",F224="Partially Delivered"),1,0)</f>
        <v>1</v>
      </c>
      <c r="Q224" s="3" t="n">
        <f aca="false">IF(F224="Cancelled",1,0)</f>
        <v>0</v>
      </c>
      <c r="R224" s="3" t="n">
        <f aca="false">IF(K224="Yes",1,0)</f>
        <v>1</v>
      </c>
    </row>
    <row r="225" customFormat="false" ht="15" hidden="false" customHeight="false" outlineLevel="0" collapsed="false">
      <c r="A225" s="0" t="s">
        <v>574</v>
      </c>
      <c r="B225" s="0" t="s">
        <v>31</v>
      </c>
      <c r="C225" s="2" t="s">
        <v>575</v>
      </c>
      <c r="D225" s="2" t="s">
        <v>576</v>
      </c>
      <c r="E225" s="3" t="s">
        <v>34</v>
      </c>
      <c r="F225" s="3" t="s">
        <v>29</v>
      </c>
      <c r="G225" s="0" t="n">
        <v>1101</v>
      </c>
      <c r="H225" s="4" t="n">
        <v>59.13</v>
      </c>
      <c r="I225" s="4" t="n">
        <v>52.51</v>
      </c>
      <c r="J225" s="0" t="n">
        <v>54</v>
      </c>
      <c r="K225" s="3" t="s">
        <v>24</v>
      </c>
      <c r="L225" s="3" t="n">
        <f aca="false">IF(D225="","",IF(D225-C225&lt;0,"",D225-C225))</f>
        <v>5</v>
      </c>
      <c r="M225" s="4" t="n">
        <f aca="false">G225*I225</f>
        <v>57813.51</v>
      </c>
      <c r="N225" s="5" t="n">
        <f aca="false">IF(J225="","",J225/G225*100)</f>
        <v>4.90463215258856</v>
      </c>
      <c r="O225" s="5" t="n">
        <f aca="false">(H225-I225)/H225*100</f>
        <v>11.1956705564012</v>
      </c>
      <c r="P225" s="3" t="n">
        <f aca="false">IF(OR(F225="Delivered",F225="Partially Delivered"),1,0)</f>
        <v>1</v>
      </c>
      <c r="Q225" s="3" t="n">
        <f aca="false">IF(F225="Cancelled",1,0)</f>
        <v>0</v>
      </c>
      <c r="R225" s="3" t="n">
        <f aca="false">IF(K225="Yes",1,0)</f>
        <v>1</v>
      </c>
    </row>
    <row r="226" customFormat="false" ht="15" hidden="false" customHeight="false" outlineLevel="0" collapsed="false">
      <c r="A226" s="0" t="s">
        <v>577</v>
      </c>
      <c r="B226" s="0" t="s">
        <v>31</v>
      </c>
      <c r="C226" s="2" t="s">
        <v>578</v>
      </c>
      <c r="D226" s="2" t="s">
        <v>579</v>
      </c>
      <c r="E226" s="3" t="s">
        <v>43</v>
      </c>
      <c r="F226" s="3" t="s">
        <v>29</v>
      </c>
      <c r="G226" s="0" t="n">
        <v>1693</v>
      </c>
      <c r="H226" s="4" t="n">
        <v>57.89</v>
      </c>
      <c r="I226" s="4" t="n">
        <v>49.84</v>
      </c>
      <c r="J226" s="0" t="n">
        <v>88</v>
      </c>
      <c r="K226" s="3" t="s">
        <v>24</v>
      </c>
      <c r="L226" s="3" t="n">
        <f aca="false">IF(D226="","",IF(D226-C226&lt;0,"",D226-C226))</f>
        <v>2</v>
      </c>
      <c r="M226" s="4" t="n">
        <f aca="false">G226*I226</f>
        <v>84379.12</v>
      </c>
      <c r="N226" s="5" t="n">
        <f aca="false">IF(J226="","",J226/G226*100)</f>
        <v>5.1978735971648</v>
      </c>
      <c r="O226" s="5" t="n">
        <f aca="false">(H226-I226)/H226*100</f>
        <v>13.9056831922612</v>
      </c>
      <c r="P226" s="3" t="n">
        <f aca="false">IF(OR(F226="Delivered",F226="Partially Delivered"),1,0)</f>
        <v>1</v>
      </c>
      <c r="Q226" s="3" t="n">
        <f aca="false">IF(F226="Cancelled",1,0)</f>
        <v>0</v>
      </c>
      <c r="R226" s="3" t="n">
        <f aca="false">IF(K226="Yes",1,0)</f>
        <v>1</v>
      </c>
    </row>
    <row r="227" customFormat="false" ht="15" hidden="false" customHeight="false" outlineLevel="0" collapsed="false">
      <c r="A227" s="0" t="s">
        <v>580</v>
      </c>
      <c r="B227" s="0" t="s">
        <v>26</v>
      </c>
      <c r="C227" s="2" t="s">
        <v>581</v>
      </c>
      <c r="D227" s="2" t="s">
        <v>582</v>
      </c>
      <c r="E227" s="3" t="s">
        <v>22</v>
      </c>
      <c r="F227" s="3" t="s">
        <v>23</v>
      </c>
      <c r="G227" s="0" t="n">
        <v>1629</v>
      </c>
      <c r="H227" s="4" t="n">
        <v>21.51</v>
      </c>
      <c r="I227" s="4" t="n">
        <v>19.41</v>
      </c>
      <c r="J227" s="0" t="n">
        <v>250</v>
      </c>
      <c r="K227" s="3" t="s">
        <v>44</v>
      </c>
      <c r="L227" s="3" t="n">
        <f aca="false">IF(D227="","",IF(D227-C227&lt;0,"",D227-C227))</f>
        <v>15</v>
      </c>
      <c r="M227" s="4" t="n">
        <f aca="false">G227*I227</f>
        <v>31618.89</v>
      </c>
      <c r="N227" s="5" t="n">
        <f aca="false">IF(J227="","",J227/G227*100)</f>
        <v>15.3468385512584</v>
      </c>
      <c r="O227" s="5" t="n">
        <f aca="false">(H227-I227)/H227*100</f>
        <v>9.7629009762901</v>
      </c>
      <c r="P227" s="3" t="n">
        <f aca="false">IF(OR(F227="Delivered",F227="Partially Delivered"),1,0)</f>
        <v>0</v>
      </c>
      <c r="Q227" s="3" t="n">
        <f aca="false">IF(F227="Cancelled",1,0)</f>
        <v>1</v>
      </c>
      <c r="R227" s="3" t="n">
        <f aca="false">IF(K227="Yes",1,0)</f>
        <v>0</v>
      </c>
    </row>
    <row r="228" customFormat="false" ht="15" hidden="false" customHeight="false" outlineLevel="0" collapsed="false">
      <c r="A228" s="0" t="s">
        <v>583</v>
      </c>
      <c r="B228" s="0" t="s">
        <v>26</v>
      </c>
      <c r="C228" s="2" t="s">
        <v>584</v>
      </c>
      <c r="D228" s="2" t="s">
        <v>585</v>
      </c>
      <c r="E228" s="3" t="s">
        <v>43</v>
      </c>
      <c r="F228" s="3" t="s">
        <v>29</v>
      </c>
      <c r="G228" s="0" t="n">
        <v>1413</v>
      </c>
      <c r="H228" s="4" t="n">
        <v>54.79</v>
      </c>
      <c r="I228" s="4" t="n">
        <v>50.42</v>
      </c>
      <c r="K228" s="3" t="s">
        <v>24</v>
      </c>
      <c r="L228" s="3" t="n">
        <f aca="false">IF(D228="","",IF(D228-C228&lt;0,"",D228-C228))</f>
        <v>12</v>
      </c>
      <c r="M228" s="4" t="n">
        <f aca="false">G228*I228</f>
        <v>71243.46</v>
      </c>
      <c r="N228" s="5" t="str">
        <f aca="false">IF(J228="","",J228/G228*100)</f>
        <v/>
      </c>
      <c r="O228" s="5" t="n">
        <f aca="false">(H228-I228)/H228*100</f>
        <v>7.97590801241102</v>
      </c>
      <c r="P228" s="3" t="n">
        <f aca="false">IF(OR(F228="Delivered",F228="Partially Delivered"),1,0)</f>
        <v>1</v>
      </c>
      <c r="Q228" s="3" t="n">
        <f aca="false">IF(F228="Cancelled",1,0)</f>
        <v>0</v>
      </c>
      <c r="R228" s="3" t="n">
        <f aca="false">IF(K228="Yes",1,0)</f>
        <v>1</v>
      </c>
    </row>
    <row r="229" customFormat="false" ht="15" hidden="false" customHeight="false" outlineLevel="0" collapsed="false">
      <c r="A229" s="0" t="s">
        <v>586</v>
      </c>
      <c r="B229" s="0" t="s">
        <v>46</v>
      </c>
      <c r="C229" s="2" t="s">
        <v>314</v>
      </c>
      <c r="D229" s="2" t="s">
        <v>84</v>
      </c>
      <c r="E229" s="3" t="s">
        <v>39</v>
      </c>
      <c r="F229" s="3" t="s">
        <v>29</v>
      </c>
      <c r="G229" s="0" t="n">
        <v>1871</v>
      </c>
      <c r="H229" s="4" t="n">
        <v>59.96</v>
      </c>
      <c r="I229" s="4" t="n">
        <v>58.54</v>
      </c>
      <c r="J229" s="0" t="n">
        <v>47</v>
      </c>
      <c r="K229" s="3" t="s">
        <v>24</v>
      </c>
      <c r="L229" s="3" t="n">
        <f aca="false">IF(D229="","",IF(D229-C229&lt;0,"",D229-C229))</f>
        <v>3</v>
      </c>
      <c r="M229" s="4" t="n">
        <f aca="false">G229*I229</f>
        <v>109528.34</v>
      </c>
      <c r="N229" s="5" t="n">
        <f aca="false">IF(J229="","",J229/G229*100)</f>
        <v>2.51202565473009</v>
      </c>
      <c r="O229" s="5" t="n">
        <f aca="false">(H229-I229)/H229*100</f>
        <v>2.368245496998</v>
      </c>
      <c r="P229" s="3" t="n">
        <f aca="false">IF(OR(F229="Delivered",F229="Partially Delivered"),1,0)</f>
        <v>1</v>
      </c>
      <c r="Q229" s="3" t="n">
        <f aca="false">IF(F229="Cancelled",1,0)</f>
        <v>0</v>
      </c>
      <c r="R229" s="3" t="n">
        <f aca="false">IF(K229="Yes",1,0)</f>
        <v>1</v>
      </c>
    </row>
    <row r="230" customFormat="false" ht="15" hidden="false" customHeight="false" outlineLevel="0" collapsed="false">
      <c r="A230" s="0" t="s">
        <v>587</v>
      </c>
      <c r="B230" s="0" t="s">
        <v>31</v>
      </c>
      <c r="C230" s="2" t="s">
        <v>581</v>
      </c>
      <c r="D230" s="2"/>
      <c r="E230" s="3" t="s">
        <v>43</v>
      </c>
      <c r="F230" s="3" t="s">
        <v>29</v>
      </c>
      <c r="G230" s="0" t="n">
        <v>1404</v>
      </c>
      <c r="H230" s="4" t="n">
        <v>34.85</v>
      </c>
      <c r="I230" s="4" t="n">
        <v>30.5</v>
      </c>
      <c r="J230" s="0" t="n">
        <v>78</v>
      </c>
      <c r="K230" s="3" t="s">
        <v>24</v>
      </c>
      <c r="L230" s="0" t="str">
        <f aca="false">IF(D230="","",IF(D230-C230&lt;0,"",D230-C230))</f>
        <v/>
      </c>
      <c r="M230" s="4" t="n">
        <f aca="false">G230*I230</f>
        <v>42822</v>
      </c>
      <c r="N230" s="5" t="n">
        <f aca="false">IF(J230="","",J230/G230*100)</f>
        <v>5.55555555555556</v>
      </c>
      <c r="O230" s="5" t="n">
        <f aca="false">(H230-I230)/H230*100</f>
        <v>12.4820659971306</v>
      </c>
      <c r="P230" s="3" t="n">
        <f aca="false">IF(OR(F230="Delivered",F230="Partially Delivered"),1,0)</f>
        <v>1</v>
      </c>
      <c r="Q230" s="3" t="n">
        <f aca="false">IF(F230="Cancelled",1,0)</f>
        <v>0</v>
      </c>
      <c r="R230" s="3" t="n">
        <f aca="false">IF(K230="Yes",1,0)</f>
        <v>1</v>
      </c>
    </row>
    <row r="231" customFormat="false" ht="15" hidden="false" customHeight="false" outlineLevel="0" collapsed="false">
      <c r="A231" s="0" t="s">
        <v>588</v>
      </c>
      <c r="B231" s="0" t="s">
        <v>31</v>
      </c>
      <c r="C231" s="2" t="s">
        <v>112</v>
      </c>
      <c r="D231" s="2" t="s">
        <v>589</v>
      </c>
      <c r="E231" s="3" t="s">
        <v>71</v>
      </c>
      <c r="F231" s="3" t="s">
        <v>29</v>
      </c>
      <c r="G231" s="0" t="n">
        <v>1713</v>
      </c>
      <c r="H231" s="4" t="n">
        <v>35.43</v>
      </c>
      <c r="I231" s="4" t="n">
        <v>34.11</v>
      </c>
      <c r="J231" s="0" t="n">
        <v>74</v>
      </c>
      <c r="K231" s="3" t="s">
        <v>24</v>
      </c>
      <c r="L231" s="3" t="n">
        <f aca="false">IF(D231="","",IF(D231-C231&lt;0,"",D231-C231))</f>
        <v>14</v>
      </c>
      <c r="M231" s="4" t="n">
        <f aca="false">G231*I231</f>
        <v>58430.43</v>
      </c>
      <c r="N231" s="5" t="n">
        <f aca="false">IF(J231="","",J231/G231*100)</f>
        <v>4.31990659661413</v>
      </c>
      <c r="O231" s="5" t="n">
        <f aca="false">(H231-I231)/H231*100</f>
        <v>3.72565622353937</v>
      </c>
      <c r="P231" s="3" t="n">
        <f aca="false">IF(OR(F231="Delivered",F231="Partially Delivered"),1,0)</f>
        <v>1</v>
      </c>
      <c r="Q231" s="3" t="n">
        <f aca="false">IF(F231="Cancelled",1,0)</f>
        <v>0</v>
      </c>
      <c r="R231" s="3" t="n">
        <f aca="false">IF(K231="Yes",1,0)</f>
        <v>1</v>
      </c>
    </row>
    <row r="232" customFormat="false" ht="15" hidden="false" customHeight="false" outlineLevel="0" collapsed="false">
      <c r="A232" s="0" t="s">
        <v>590</v>
      </c>
      <c r="B232" s="0" t="s">
        <v>31</v>
      </c>
      <c r="C232" s="2" t="s">
        <v>591</v>
      </c>
      <c r="D232" s="2" t="s">
        <v>592</v>
      </c>
      <c r="E232" s="3" t="s">
        <v>71</v>
      </c>
      <c r="F232" s="3" t="s">
        <v>29</v>
      </c>
      <c r="G232" s="0" t="n">
        <v>1579</v>
      </c>
      <c r="H232" s="4" t="n">
        <v>43.96</v>
      </c>
      <c r="I232" s="4" t="n">
        <v>43.41</v>
      </c>
      <c r="J232" s="0" t="n">
        <v>74</v>
      </c>
      <c r="K232" s="3" t="s">
        <v>24</v>
      </c>
      <c r="L232" s="3" t="n">
        <f aca="false">IF(D232="","",IF(D232-C232&lt;0,"",D232-C232))</f>
        <v>5</v>
      </c>
      <c r="M232" s="4" t="n">
        <f aca="false">G232*I232</f>
        <v>68544.39</v>
      </c>
      <c r="N232" s="5" t="n">
        <f aca="false">IF(J232="","",J232/G232*100)</f>
        <v>4.68651044965168</v>
      </c>
      <c r="O232" s="5" t="n">
        <f aca="false">(H232-I232)/H232*100</f>
        <v>1.25113739763422</v>
      </c>
      <c r="P232" s="3" t="n">
        <f aca="false">IF(OR(F232="Delivered",F232="Partially Delivered"),1,0)</f>
        <v>1</v>
      </c>
      <c r="Q232" s="3" t="n">
        <f aca="false">IF(F232="Cancelled",1,0)</f>
        <v>0</v>
      </c>
      <c r="R232" s="3" t="n">
        <f aca="false">IF(K232="Yes",1,0)</f>
        <v>1</v>
      </c>
    </row>
    <row r="233" customFormat="false" ht="15" hidden="false" customHeight="false" outlineLevel="0" collapsed="false">
      <c r="A233" s="0" t="s">
        <v>593</v>
      </c>
      <c r="B233" s="0" t="s">
        <v>31</v>
      </c>
      <c r="C233" s="2" t="s">
        <v>573</v>
      </c>
      <c r="D233" s="2" t="s">
        <v>594</v>
      </c>
      <c r="E233" s="3" t="s">
        <v>71</v>
      </c>
      <c r="F233" s="3" t="s">
        <v>29</v>
      </c>
      <c r="G233" s="0" t="n">
        <v>1421</v>
      </c>
      <c r="H233" s="4" t="n">
        <v>11.92</v>
      </c>
      <c r="I233" s="4" t="n">
        <v>11.72</v>
      </c>
      <c r="J233" s="0" t="n">
        <v>76</v>
      </c>
      <c r="K233" s="3" t="s">
        <v>24</v>
      </c>
      <c r="L233" s="3" t="n">
        <f aca="false">IF(D233="","",IF(D233-C233&lt;0,"",D233-C233))</f>
        <v>12</v>
      </c>
      <c r="M233" s="4" t="n">
        <f aca="false">G233*I233</f>
        <v>16654.12</v>
      </c>
      <c r="N233" s="5" t="n">
        <f aca="false">IF(J233="","",J233/G233*100)</f>
        <v>5.34834623504574</v>
      </c>
      <c r="O233" s="5" t="n">
        <f aca="false">(H233-I233)/H233*100</f>
        <v>1.67785234899328</v>
      </c>
      <c r="P233" s="3" t="n">
        <f aca="false">IF(OR(F233="Delivered",F233="Partially Delivered"),1,0)</f>
        <v>1</v>
      </c>
      <c r="Q233" s="3" t="n">
        <f aca="false">IF(F233="Cancelled",1,0)</f>
        <v>0</v>
      </c>
      <c r="R233" s="3" t="n">
        <f aca="false">IF(K233="Yes",1,0)</f>
        <v>1</v>
      </c>
    </row>
    <row r="234" customFormat="false" ht="15" hidden="false" customHeight="false" outlineLevel="0" collapsed="false">
      <c r="A234" s="0" t="s">
        <v>595</v>
      </c>
      <c r="B234" s="0" t="s">
        <v>46</v>
      </c>
      <c r="C234" s="2" t="s">
        <v>251</v>
      </c>
      <c r="D234" s="2" t="s">
        <v>596</v>
      </c>
      <c r="E234" s="3" t="s">
        <v>34</v>
      </c>
      <c r="F234" s="3" t="s">
        <v>29</v>
      </c>
      <c r="G234" s="0" t="n">
        <v>1546</v>
      </c>
      <c r="H234" s="4" t="n">
        <v>43.47</v>
      </c>
      <c r="I234" s="4" t="n">
        <v>37.37</v>
      </c>
      <c r="J234" s="0" t="n">
        <v>53</v>
      </c>
      <c r="K234" s="3" t="s">
        <v>24</v>
      </c>
      <c r="L234" s="3" t="n">
        <f aca="false">IF(D234="","",IF(D234-C234&lt;0,"",D234-C234))</f>
        <v>9</v>
      </c>
      <c r="M234" s="4" t="n">
        <f aca="false">G234*I234</f>
        <v>57774.02</v>
      </c>
      <c r="N234" s="5" t="n">
        <f aca="false">IF(J234="","",J234/G234*100)</f>
        <v>3.42820181112549</v>
      </c>
      <c r="O234" s="5" t="n">
        <f aca="false">(H234-I234)/H234*100</f>
        <v>14.0326662065793</v>
      </c>
      <c r="P234" s="3" t="n">
        <f aca="false">IF(OR(F234="Delivered",F234="Partially Delivered"),1,0)</f>
        <v>1</v>
      </c>
      <c r="Q234" s="3" t="n">
        <f aca="false">IF(F234="Cancelled",1,0)</f>
        <v>0</v>
      </c>
      <c r="R234" s="3" t="n">
        <f aca="false">IF(K234="Yes",1,0)</f>
        <v>1</v>
      </c>
    </row>
    <row r="235" customFormat="false" ht="15" hidden="false" customHeight="false" outlineLevel="0" collapsed="false">
      <c r="A235" s="0" t="s">
        <v>597</v>
      </c>
      <c r="B235" s="0" t="s">
        <v>26</v>
      </c>
      <c r="C235" s="2" t="s">
        <v>598</v>
      </c>
      <c r="D235" s="2" t="s">
        <v>281</v>
      </c>
      <c r="E235" s="3" t="s">
        <v>71</v>
      </c>
      <c r="F235" s="3" t="s">
        <v>29</v>
      </c>
      <c r="G235" s="0" t="n">
        <v>1304</v>
      </c>
      <c r="H235" s="4" t="n">
        <v>32.08</v>
      </c>
      <c r="I235" s="4" t="n">
        <v>29.36</v>
      </c>
      <c r="K235" s="3" t="s">
        <v>24</v>
      </c>
      <c r="L235" s="3" t="n">
        <f aca="false">IF(D235="","",IF(D235-C235&lt;0,"",D235-C235))</f>
        <v>9</v>
      </c>
      <c r="M235" s="4" t="n">
        <f aca="false">G235*I235</f>
        <v>38285.44</v>
      </c>
      <c r="N235" s="5" t="str">
        <f aca="false">IF(J235="","",J235/G235*100)</f>
        <v/>
      </c>
      <c r="O235" s="5" t="n">
        <f aca="false">(H235-I235)/H235*100</f>
        <v>8.4788029925187</v>
      </c>
      <c r="P235" s="3" t="n">
        <f aca="false">IF(OR(F235="Delivered",F235="Partially Delivered"),1,0)</f>
        <v>1</v>
      </c>
      <c r="Q235" s="3" t="n">
        <f aca="false">IF(F235="Cancelled",1,0)</f>
        <v>0</v>
      </c>
      <c r="R235" s="3" t="n">
        <f aca="false">IF(K235="Yes",1,0)</f>
        <v>1</v>
      </c>
    </row>
    <row r="236" customFormat="false" ht="15" hidden="false" customHeight="false" outlineLevel="0" collapsed="false">
      <c r="A236" s="0" t="s">
        <v>599</v>
      </c>
      <c r="B236" s="0" t="s">
        <v>26</v>
      </c>
      <c r="C236" s="2" t="s">
        <v>600</v>
      </c>
      <c r="D236" s="2"/>
      <c r="E236" s="3" t="s">
        <v>43</v>
      </c>
      <c r="F236" s="3" t="s">
        <v>29</v>
      </c>
      <c r="G236" s="0" t="n">
        <v>239</v>
      </c>
      <c r="H236" s="4" t="n">
        <v>39.87</v>
      </c>
      <c r="I236" s="4" t="n">
        <v>35.47</v>
      </c>
      <c r="J236" s="0" t="n">
        <v>32</v>
      </c>
      <c r="K236" s="3" t="s">
        <v>24</v>
      </c>
      <c r="L236" s="0" t="str">
        <f aca="false">IF(D236="","",IF(D236-C236&lt;0,"",D236-C236))</f>
        <v/>
      </c>
      <c r="M236" s="4" t="n">
        <f aca="false">G236*I236</f>
        <v>8477.33</v>
      </c>
      <c r="N236" s="5" t="n">
        <f aca="false">IF(J236="","",J236/G236*100)</f>
        <v>13.3891213389121</v>
      </c>
      <c r="O236" s="5" t="n">
        <f aca="false">(H236-I236)/H236*100</f>
        <v>11.0358665663406</v>
      </c>
      <c r="P236" s="3" t="n">
        <f aca="false">IF(OR(F236="Delivered",F236="Partially Delivered"),1,0)</f>
        <v>1</v>
      </c>
      <c r="Q236" s="3" t="n">
        <f aca="false">IF(F236="Cancelled",1,0)</f>
        <v>0</v>
      </c>
      <c r="R236" s="3" t="n">
        <f aca="false">IF(K236="Yes",1,0)</f>
        <v>1</v>
      </c>
    </row>
    <row r="237" customFormat="false" ht="15" hidden="false" customHeight="false" outlineLevel="0" collapsed="false">
      <c r="A237" s="0" t="s">
        <v>601</v>
      </c>
      <c r="B237" s="0" t="s">
        <v>19</v>
      </c>
      <c r="C237" s="2" t="s">
        <v>113</v>
      </c>
      <c r="D237" s="2"/>
      <c r="E237" s="3" t="s">
        <v>22</v>
      </c>
      <c r="F237" s="3" t="s">
        <v>29</v>
      </c>
      <c r="G237" s="0" t="n">
        <v>1298</v>
      </c>
      <c r="H237" s="4" t="n">
        <v>21.51</v>
      </c>
      <c r="I237" s="4" t="n">
        <v>20.83</v>
      </c>
      <c r="K237" s="3" t="s">
        <v>24</v>
      </c>
      <c r="L237" s="0" t="str">
        <f aca="false">IF(D237="","",IF(D237-C237&lt;0,"",D237-C237))</f>
        <v/>
      </c>
      <c r="M237" s="4" t="n">
        <f aca="false">G237*I237</f>
        <v>27037.34</v>
      </c>
      <c r="N237" s="5" t="str">
        <f aca="false">IF(J237="","",J237/G237*100)</f>
        <v/>
      </c>
      <c r="O237" s="5" t="n">
        <f aca="false">(H237-I237)/H237*100</f>
        <v>3.16132031613205</v>
      </c>
      <c r="P237" s="3" t="n">
        <f aca="false">IF(OR(F237="Delivered",F237="Partially Delivered"),1,0)</f>
        <v>1</v>
      </c>
      <c r="Q237" s="3" t="n">
        <f aca="false">IF(F237="Cancelled",1,0)</f>
        <v>0</v>
      </c>
      <c r="R237" s="3" t="n">
        <f aca="false">IF(K237="Yes",1,0)</f>
        <v>1</v>
      </c>
    </row>
    <row r="238" customFormat="false" ht="15" hidden="false" customHeight="false" outlineLevel="0" collapsed="false">
      <c r="A238" s="0" t="s">
        <v>602</v>
      </c>
      <c r="B238" s="0" t="s">
        <v>26</v>
      </c>
      <c r="C238" s="2" t="s">
        <v>501</v>
      </c>
      <c r="D238" s="2"/>
      <c r="E238" s="3" t="s">
        <v>34</v>
      </c>
      <c r="F238" s="3" t="s">
        <v>29</v>
      </c>
      <c r="G238" s="0" t="n">
        <v>1458</v>
      </c>
      <c r="H238" s="4" t="n">
        <v>91.05</v>
      </c>
      <c r="I238" s="4" t="n">
        <v>81.56</v>
      </c>
      <c r="J238" s="0" t="n">
        <v>220</v>
      </c>
      <c r="K238" s="3" t="s">
        <v>24</v>
      </c>
      <c r="L238" s="0" t="str">
        <f aca="false">IF(D238="","",IF(D238-C238&lt;0,"",D238-C238))</f>
        <v/>
      </c>
      <c r="M238" s="4" t="n">
        <f aca="false">G238*I238</f>
        <v>118914.48</v>
      </c>
      <c r="N238" s="5" t="n">
        <f aca="false">IF(J238="","",J238/G238*100)</f>
        <v>15.0891632373114</v>
      </c>
      <c r="O238" s="5" t="n">
        <f aca="false">(H238-I238)/H238*100</f>
        <v>10.4228445908841</v>
      </c>
      <c r="P238" s="3" t="n">
        <f aca="false">IF(OR(F238="Delivered",F238="Partially Delivered"),1,0)</f>
        <v>1</v>
      </c>
      <c r="Q238" s="3" t="n">
        <f aca="false">IF(F238="Cancelled",1,0)</f>
        <v>0</v>
      </c>
      <c r="R238" s="3" t="n">
        <f aca="false">IF(K238="Yes",1,0)</f>
        <v>1</v>
      </c>
    </row>
    <row r="239" customFormat="false" ht="15" hidden="false" customHeight="false" outlineLevel="0" collapsed="false">
      <c r="A239" s="0" t="s">
        <v>603</v>
      </c>
      <c r="B239" s="0" t="s">
        <v>31</v>
      </c>
      <c r="C239" s="2" t="s">
        <v>73</v>
      </c>
      <c r="D239" s="2" t="s">
        <v>604</v>
      </c>
      <c r="E239" s="3" t="s">
        <v>34</v>
      </c>
      <c r="F239" s="3" t="s">
        <v>29</v>
      </c>
      <c r="G239" s="0" t="n">
        <v>1450</v>
      </c>
      <c r="H239" s="4" t="n">
        <v>63.74</v>
      </c>
      <c r="I239" s="4" t="n">
        <v>59.11</v>
      </c>
      <c r="J239" s="0" t="n">
        <v>71</v>
      </c>
      <c r="K239" s="3" t="s">
        <v>24</v>
      </c>
      <c r="L239" s="3" t="n">
        <f aca="false">IF(D239="","",IF(D239-C239&lt;0,"",D239-C239))</f>
        <v>11</v>
      </c>
      <c r="M239" s="4" t="n">
        <f aca="false">G239*I239</f>
        <v>85709.5</v>
      </c>
      <c r="N239" s="5" t="n">
        <f aca="false">IF(J239="","",J239/G239*100)</f>
        <v>4.89655172413793</v>
      </c>
      <c r="O239" s="5" t="n">
        <f aca="false">(H239-I239)/H239*100</f>
        <v>7.26388453090681</v>
      </c>
      <c r="P239" s="3" t="n">
        <f aca="false">IF(OR(F239="Delivered",F239="Partially Delivered"),1,0)</f>
        <v>1</v>
      </c>
      <c r="Q239" s="3" t="n">
        <f aca="false">IF(F239="Cancelled",1,0)</f>
        <v>0</v>
      </c>
      <c r="R239" s="3" t="n">
        <f aca="false">IF(K239="Yes",1,0)</f>
        <v>1</v>
      </c>
    </row>
    <row r="240" customFormat="false" ht="15" hidden="false" customHeight="false" outlineLevel="0" collapsed="false">
      <c r="A240" s="0" t="s">
        <v>605</v>
      </c>
      <c r="B240" s="0" t="s">
        <v>36</v>
      </c>
      <c r="C240" s="2" t="s">
        <v>606</v>
      </c>
      <c r="D240" s="2" t="s">
        <v>607</v>
      </c>
      <c r="E240" s="3" t="s">
        <v>71</v>
      </c>
      <c r="F240" s="3" t="s">
        <v>29</v>
      </c>
      <c r="G240" s="0" t="n">
        <v>1356</v>
      </c>
      <c r="H240" s="4" t="n">
        <v>75.03</v>
      </c>
      <c r="I240" s="4" t="n">
        <v>63.86</v>
      </c>
      <c r="J240" s="0" t="n">
        <v>131</v>
      </c>
      <c r="K240" s="3" t="s">
        <v>24</v>
      </c>
      <c r="L240" s="3" t="n">
        <f aca="false">IF(D240="","",IF(D240-C240&lt;0,"",D240-C240))</f>
        <v>15</v>
      </c>
      <c r="M240" s="4" t="n">
        <f aca="false">G240*I240</f>
        <v>86594.16</v>
      </c>
      <c r="N240" s="5" t="n">
        <f aca="false">IF(J240="","",J240/G240*100)</f>
        <v>9.66076696165192</v>
      </c>
      <c r="O240" s="5" t="n">
        <f aca="false">(H240-I240)/H240*100</f>
        <v>14.8873783819805</v>
      </c>
      <c r="P240" s="3" t="n">
        <f aca="false">IF(OR(F240="Delivered",F240="Partially Delivered"),1,0)</f>
        <v>1</v>
      </c>
      <c r="Q240" s="3" t="n">
        <f aca="false">IF(F240="Cancelled",1,0)</f>
        <v>0</v>
      </c>
      <c r="R240" s="3" t="n">
        <f aca="false">IF(K240="Yes",1,0)</f>
        <v>1</v>
      </c>
    </row>
    <row r="241" customFormat="false" ht="15" hidden="false" customHeight="false" outlineLevel="0" collapsed="false">
      <c r="A241" s="0" t="s">
        <v>608</v>
      </c>
      <c r="B241" s="0" t="s">
        <v>31</v>
      </c>
      <c r="C241" s="2" t="s">
        <v>573</v>
      </c>
      <c r="D241" s="2"/>
      <c r="E241" s="3" t="s">
        <v>39</v>
      </c>
      <c r="F241" s="3" t="s">
        <v>29</v>
      </c>
      <c r="G241" s="0" t="n">
        <v>682</v>
      </c>
      <c r="H241" s="4" t="n">
        <v>81.84</v>
      </c>
      <c r="I241" s="4" t="n">
        <v>71.86</v>
      </c>
      <c r="J241" s="0" t="n">
        <v>40</v>
      </c>
      <c r="K241" s="3" t="s">
        <v>24</v>
      </c>
      <c r="L241" s="0" t="str">
        <f aca="false">IF(D241="","",IF(D241-C241&lt;0,"",D241-C241))</f>
        <v/>
      </c>
      <c r="M241" s="4" t="n">
        <f aca="false">G241*I241</f>
        <v>49008.52</v>
      </c>
      <c r="N241" s="5" t="n">
        <f aca="false">IF(J241="","",J241/G241*100)</f>
        <v>5.86510263929619</v>
      </c>
      <c r="O241" s="5" t="n">
        <f aca="false">(H241-I241)/H241*100</f>
        <v>12.1945259042033</v>
      </c>
      <c r="P241" s="3" t="n">
        <f aca="false">IF(OR(F241="Delivered",F241="Partially Delivered"),1,0)</f>
        <v>1</v>
      </c>
      <c r="Q241" s="3" t="n">
        <f aca="false">IF(F241="Cancelled",1,0)</f>
        <v>0</v>
      </c>
      <c r="R241" s="3" t="n">
        <f aca="false">IF(K241="Yes",1,0)</f>
        <v>1</v>
      </c>
    </row>
    <row r="242" customFormat="false" ht="15" hidden="false" customHeight="false" outlineLevel="0" collapsed="false">
      <c r="A242" s="0" t="s">
        <v>609</v>
      </c>
      <c r="B242" s="0" t="s">
        <v>31</v>
      </c>
      <c r="C242" s="2" t="s">
        <v>325</v>
      </c>
      <c r="D242" s="2" t="s">
        <v>460</v>
      </c>
      <c r="E242" s="3" t="s">
        <v>39</v>
      </c>
      <c r="F242" s="3" t="s">
        <v>29</v>
      </c>
      <c r="G242" s="0" t="n">
        <v>677</v>
      </c>
      <c r="H242" s="4" t="n">
        <v>59.52</v>
      </c>
      <c r="I242" s="4" t="n">
        <v>55.29</v>
      </c>
      <c r="J242" s="0" t="n">
        <v>39</v>
      </c>
      <c r="K242" s="3" t="s">
        <v>24</v>
      </c>
      <c r="L242" s="3" t="n">
        <f aca="false">IF(D242="","",IF(D242-C242&lt;0,"",D242-C242))</f>
        <v>8</v>
      </c>
      <c r="M242" s="4" t="n">
        <f aca="false">G242*I242</f>
        <v>37431.33</v>
      </c>
      <c r="N242" s="5" t="n">
        <f aca="false">IF(J242="","",J242/G242*100)</f>
        <v>5.76070901033973</v>
      </c>
      <c r="O242" s="5" t="n">
        <f aca="false">(H242-I242)/H242*100</f>
        <v>7.10685483870968</v>
      </c>
      <c r="P242" s="3" t="n">
        <f aca="false">IF(OR(F242="Delivered",F242="Partially Delivered"),1,0)</f>
        <v>1</v>
      </c>
      <c r="Q242" s="3" t="n">
        <f aca="false">IF(F242="Cancelled",1,0)</f>
        <v>0</v>
      </c>
      <c r="R242" s="3" t="n">
        <f aca="false">IF(K242="Yes",1,0)</f>
        <v>1</v>
      </c>
    </row>
    <row r="243" customFormat="false" ht="15" hidden="false" customHeight="false" outlineLevel="0" collapsed="false">
      <c r="A243" s="0" t="s">
        <v>610</v>
      </c>
      <c r="B243" s="0" t="s">
        <v>26</v>
      </c>
      <c r="C243" s="2" t="s">
        <v>289</v>
      </c>
      <c r="D243" s="2" t="s">
        <v>611</v>
      </c>
      <c r="E243" s="3" t="s">
        <v>22</v>
      </c>
      <c r="F243" s="3" t="s">
        <v>29</v>
      </c>
      <c r="G243" s="0" t="n">
        <v>1022</v>
      </c>
      <c r="H243" s="4" t="n">
        <v>18.54</v>
      </c>
      <c r="I243" s="4" t="n">
        <v>16.55</v>
      </c>
      <c r="J243" s="0" t="n">
        <v>150</v>
      </c>
      <c r="K243" s="3" t="s">
        <v>24</v>
      </c>
      <c r="L243" s="3" t="n">
        <f aca="false">IF(D243="","",IF(D243-C243&lt;0,"",D243-C243))</f>
        <v>13</v>
      </c>
      <c r="M243" s="4" t="n">
        <f aca="false">G243*I243</f>
        <v>16914.1</v>
      </c>
      <c r="N243" s="5" t="n">
        <f aca="false">IF(J243="","",J243/G243*100)</f>
        <v>14.6771037181996</v>
      </c>
      <c r="O243" s="5" t="n">
        <f aca="false">(H243-I243)/H243*100</f>
        <v>10.7335490830636</v>
      </c>
      <c r="P243" s="3" t="n">
        <f aca="false">IF(OR(F243="Delivered",F243="Partially Delivered"),1,0)</f>
        <v>1</v>
      </c>
      <c r="Q243" s="3" t="n">
        <f aca="false">IF(F243="Cancelled",1,0)</f>
        <v>0</v>
      </c>
      <c r="R243" s="3" t="n">
        <f aca="false">IF(K243="Yes",1,0)</f>
        <v>1</v>
      </c>
    </row>
    <row r="244" customFormat="false" ht="15" hidden="false" customHeight="false" outlineLevel="0" collapsed="false">
      <c r="A244" s="0" t="s">
        <v>612</v>
      </c>
      <c r="B244" s="0" t="s">
        <v>19</v>
      </c>
      <c r="C244" s="2" t="s">
        <v>337</v>
      </c>
      <c r="D244" s="2"/>
      <c r="E244" s="3" t="s">
        <v>43</v>
      </c>
      <c r="F244" s="3" t="s">
        <v>29</v>
      </c>
      <c r="G244" s="0" t="n">
        <v>1818</v>
      </c>
      <c r="H244" s="4" t="n">
        <v>60.96</v>
      </c>
      <c r="I244" s="4" t="n">
        <v>57.13</v>
      </c>
      <c r="J244" s="0" t="n">
        <v>41</v>
      </c>
      <c r="K244" s="3" t="s">
        <v>24</v>
      </c>
      <c r="L244" s="0" t="str">
        <f aca="false">IF(D244="","",IF(D244-C244&lt;0,"",D244-C244))</f>
        <v/>
      </c>
      <c r="M244" s="4" t="n">
        <f aca="false">G244*I244</f>
        <v>103862.34</v>
      </c>
      <c r="N244" s="5" t="n">
        <f aca="false">IF(J244="","",J244/G244*100)</f>
        <v>2.25522552255226</v>
      </c>
      <c r="O244" s="5" t="n">
        <f aca="false">(H244-I244)/H244*100</f>
        <v>6.28280839895013</v>
      </c>
      <c r="P244" s="3" t="n">
        <f aca="false">IF(OR(F244="Delivered",F244="Partially Delivered"),1,0)</f>
        <v>1</v>
      </c>
      <c r="Q244" s="3" t="n">
        <f aca="false">IF(F244="Cancelled",1,0)</f>
        <v>0</v>
      </c>
      <c r="R244" s="3" t="n">
        <f aca="false">IF(K244="Yes",1,0)</f>
        <v>1</v>
      </c>
    </row>
    <row r="245" customFormat="false" ht="15" hidden="false" customHeight="false" outlineLevel="0" collapsed="false">
      <c r="A245" s="0" t="s">
        <v>613</v>
      </c>
      <c r="B245" s="0" t="s">
        <v>46</v>
      </c>
      <c r="C245" s="2" t="s">
        <v>614</v>
      </c>
      <c r="D245" s="2" t="s">
        <v>552</v>
      </c>
      <c r="E245" s="3" t="s">
        <v>71</v>
      </c>
      <c r="F245" s="3" t="s">
        <v>29</v>
      </c>
      <c r="G245" s="0" t="n">
        <v>1332</v>
      </c>
      <c r="H245" s="4" t="n">
        <v>69.73</v>
      </c>
      <c r="I245" s="4" t="n">
        <v>63.8</v>
      </c>
      <c r="J245" s="0" t="n">
        <v>41</v>
      </c>
      <c r="K245" s="3" t="s">
        <v>24</v>
      </c>
      <c r="L245" s="3" t="n">
        <f aca="false">IF(D245="","",IF(D245-C245&lt;0,"",D245-C245))</f>
        <v>12</v>
      </c>
      <c r="M245" s="4" t="n">
        <f aca="false">G245*I245</f>
        <v>84981.6</v>
      </c>
      <c r="N245" s="5" t="n">
        <f aca="false">IF(J245="","",J245/G245*100)</f>
        <v>3.07807807807808</v>
      </c>
      <c r="O245" s="5" t="n">
        <f aca="false">(H245-I245)/H245*100</f>
        <v>8.50423060375736</v>
      </c>
      <c r="P245" s="3" t="n">
        <f aca="false">IF(OR(F245="Delivered",F245="Partially Delivered"),1,0)</f>
        <v>1</v>
      </c>
      <c r="Q245" s="3" t="n">
        <f aca="false">IF(F245="Cancelled",1,0)</f>
        <v>0</v>
      </c>
      <c r="R245" s="3" t="n">
        <f aca="false">IF(K245="Yes",1,0)</f>
        <v>1</v>
      </c>
    </row>
    <row r="246" customFormat="false" ht="15" hidden="false" customHeight="false" outlineLevel="0" collapsed="false">
      <c r="A246" s="0" t="s">
        <v>615</v>
      </c>
      <c r="B246" s="0" t="s">
        <v>36</v>
      </c>
      <c r="C246" s="2" t="s">
        <v>510</v>
      </c>
      <c r="D246" s="2" t="s">
        <v>616</v>
      </c>
      <c r="E246" s="3" t="s">
        <v>43</v>
      </c>
      <c r="F246" s="3" t="s">
        <v>29</v>
      </c>
      <c r="G246" s="0" t="n">
        <v>1432</v>
      </c>
      <c r="H246" s="4" t="n">
        <v>83.26</v>
      </c>
      <c r="I246" s="4" t="n">
        <v>77.67</v>
      </c>
      <c r="J246" s="0" t="n">
        <v>174</v>
      </c>
      <c r="K246" s="3" t="s">
        <v>24</v>
      </c>
      <c r="L246" s="3" t="n">
        <f aca="false">IF(D246="","",IF(D246-C246&lt;0,"",D246-C246))</f>
        <v>13</v>
      </c>
      <c r="M246" s="4" t="n">
        <f aca="false">G246*I246</f>
        <v>111223.44</v>
      </c>
      <c r="N246" s="5" t="n">
        <f aca="false">IF(J246="","",J246/G246*100)</f>
        <v>12.1508379888268</v>
      </c>
      <c r="O246" s="5" t="n">
        <f aca="false">(H246-I246)/H246*100</f>
        <v>6.71390823925055</v>
      </c>
      <c r="P246" s="3" t="n">
        <f aca="false">IF(OR(F246="Delivered",F246="Partially Delivered"),1,0)</f>
        <v>1</v>
      </c>
      <c r="Q246" s="3" t="n">
        <f aca="false">IF(F246="Cancelled",1,0)</f>
        <v>0</v>
      </c>
      <c r="R246" s="3" t="n">
        <f aca="false">IF(K246="Yes",1,0)</f>
        <v>1</v>
      </c>
    </row>
    <row r="247" customFormat="false" ht="15" hidden="false" customHeight="false" outlineLevel="0" collapsed="false">
      <c r="A247" s="0" t="s">
        <v>617</v>
      </c>
      <c r="B247" s="0" t="s">
        <v>36</v>
      </c>
      <c r="C247" s="2" t="s">
        <v>100</v>
      </c>
      <c r="D247" s="2" t="s">
        <v>618</v>
      </c>
      <c r="E247" s="3" t="s">
        <v>39</v>
      </c>
      <c r="F247" s="3" t="s">
        <v>62</v>
      </c>
      <c r="G247" s="0" t="n">
        <v>759</v>
      </c>
      <c r="H247" s="4" t="n">
        <v>50.56</v>
      </c>
      <c r="I247" s="4" t="n">
        <v>46.47</v>
      </c>
      <c r="J247" s="0" t="n">
        <v>63</v>
      </c>
      <c r="K247" s="3" t="s">
        <v>44</v>
      </c>
      <c r="L247" s="3" t="n">
        <f aca="false">IF(D247="","",IF(D247-C247&lt;0,"",D247-C247))</f>
        <v>18</v>
      </c>
      <c r="M247" s="4" t="n">
        <f aca="false">G247*I247</f>
        <v>35270.73</v>
      </c>
      <c r="N247" s="5" t="n">
        <f aca="false">IF(J247="","",J247/G247*100)</f>
        <v>8.300395256917</v>
      </c>
      <c r="O247" s="5" t="n">
        <f aca="false">(H247-I247)/H247*100</f>
        <v>8.08939873417722</v>
      </c>
      <c r="P247" s="3" t="n">
        <f aca="false">IF(OR(F247="Delivered",F247="Partially Delivered"),1,0)</f>
        <v>0</v>
      </c>
      <c r="Q247" s="3" t="n">
        <f aca="false">IF(F247="Cancelled",1,0)</f>
        <v>0</v>
      </c>
      <c r="R247" s="3" t="n">
        <f aca="false">IF(K247="Yes",1,0)</f>
        <v>0</v>
      </c>
    </row>
    <row r="248" customFormat="false" ht="15" hidden="false" customHeight="false" outlineLevel="0" collapsed="false">
      <c r="A248" s="0" t="s">
        <v>619</v>
      </c>
      <c r="B248" s="0" t="s">
        <v>19</v>
      </c>
      <c r="C248" s="2" t="s">
        <v>472</v>
      </c>
      <c r="D248" s="2" t="s">
        <v>346</v>
      </c>
      <c r="E248" s="3" t="s">
        <v>39</v>
      </c>
      <c r="F248" s="3" t="s">
        <v>29</v>
      </c>
      <c r="G248" s="0" t="n">
        <v>1529</v>
      </c>
      <c r="H248" s="4" t="n">
        <v>23.42</v>
      </c>
      <c r="I248" s="4" t="n">
        <v>22.44</v>
      </c>
      <c r="J248" s="0" t="n">
        <v>30</v>
      </c>
      <c r="K248" s="3" t="s">
        <v>24</v>
      </c>
      <c r="L248" s="3" t="n">
        <f aca="false">IF(D248="","",IF(D248-C248&lt;0,"",D248-C248))</f>
        <v>12</v>
      </c>
      <c r="M248" s="4" t="n">
        <f aca="false">G248*I248</f>
        <v>34310.76</v>
      </c>
      <c r="N248" s="5" t="n">
        <f aca="false">IF(J248="","",J248/G248*100)</f>
        <v>1.96206671026815</v>
      </c>
      <c r="O248" s="5" t="n">
        <f aca="false">(H248-I248)/H248*100</f>
        <v>4.18445772843723</v>
      </c>
      <c r="P248" s="3" t="n">
        <f aca="false">IF(OR(F248="Delivered",F248="Partially Delivered"),1,0)</f>
        <v>1</v>
      </c>
      <c r="Q248" s="3" t="n">
        <f aca="false">IF(F248="Cancelled",1,0)</f>
        <v>0</v>
      </c>
      <c r="R248" s="3" t="n">
        <f aca="false">IF(K248="Yes",1,0)</f>
        <v>1</v>
      </c>
    </row>
    <row r="249" customFormat="false" ht="15" hidden="false" customHeight="false" outlineLevel="0" collapsed="false">
      <c r="A249" s="0" t="s">
        <v>620</v>
      </c>
      <c r="B249" s="0" t="s">
        <v>31</v>
      </c>
      <c r="C249" s="2" t="s">
        <v>621</v>
      </c>
      <c r="D249" s="2" t="s">
        <v>622</v>
      </c>
      <c r="E249" s="3" t="s">
        <v>71</v>
      </c>
      <c r="F249" s="3" t="s">
        <v>29</v>
      </c>
      <c r="G249" s="0" t="n">
        <v>1484</v>
      </c>
      <c r="H249" s="4" t="n">
        <v>36.25</v>
      </c>
      <c r="I249" s="4" t="n">
        <v>31.8</v>
      </c>
      <c r="J249" s="0" t="n">
        <v>61</v>
      </c>
      <c r="K249" s="3" t="s">
        <v>24</v>
      </c>
      <c r="L249" s="3" t="n">
        <f aca="false">IF(D249="","",IF(D249-C249&lt;0,"",D249-C249))</f>
        <v>9</v>
      </c>
      <c r="M249" s="4" t="n">
        <f aca="false">G249*I249</f>
        <v>47191.2</v>
      </c>
      <c r="N249" s="5" t="n">
        <f aca="false">IF(J249="","",J249/G249*100)</f>
        <v>4.11051212938005</v>
      </c>
      <c r="O249" s="5" t="n">
        <f aca="false">(H249-I249)/H249*100</f>
        <v>12.2758620689655</v>
      </c>
      <c r="P249" s="3" t="n">
        <f aca="false">IF(OR(F249="Delivered",F249="Partially Delivered"),1,0)</f>
        <v>1</v>
      </c>
      <c r="Q249" s="3" t="n">
        <f aca="false">IF(F249="Cancelled",1,0)</f>
        <v>0</v>
      </c>
      <c r="R249" s="3" t="n">
        <f aca="false">IF(K249="Yes",1,0)</f>
        <v>1</v>
      </c>
    </row>
    <row r="250" customFormat="false" ht="15" hidden="false" customHeight="false" outlineLevel="0" collapsed="false">
      <c r="A250" s="0" t="s">
        <v>623</v>
      </c>
      <c r="B250" s="0" t="s">
        <v>46</v>
      </c>
      <c r="C250" s="2" t="s">
        <v>624</v>
      </c>
      <c r="D250" s="2" t="s">
        <v>625</v>
      </c>
      <c r="E250" s="3" t="s">
        <v>39</v>
      </c>
      <c r="F250" s="3" t="s">
        <v>29</v>
      </c>
      <c r="G250" s="0" t="n">
        <v>698</v>
      </c>
      <c r="H250" s="4" t="n">
        <v>46.73</v>
      </c>
      <c r="I250" s="4" t="n">
        <v>45.61</v>
      </c>
      <c r="J250" s="0" t="n">
        <v>15</v>
      </c>
      <c r="K250" s="3" t="s">
        <v>24</v>
      </c>
      <c r="L250" s="3" t="n">
        <f aca="false">IF(D250="","",IF(D250-C250&lt;0,"",D250-C250))</f>
        <v>12</v>
      </c>
      <c r="M250" s="4" t="n">
        <f aca="false">G250*I250</f>
        <v>31835.78</v>
      </c>
      <c r="N250" s="5" t="n">
        <f aca="false">IF(J250="","",J250/G250*100)</f>
        <v>2.14899713467049</v>
      </c>
      <c r="O250" s="5" t="n">
        <f aca="false">(H250-I250)/H250*100</f>
        <v>2.39674727156002</v>
      </c>
      <c r="P250" s="3" t="n">
        <f aca="false">IF(OR(F250="Delivered",F250="Partially Delivered"),1,0)</f>
        <v>1</v>
      </c>
      <c r="Q250" s="3" t="n">
        <f aca="false">IF(F250="Cancelled",1,0)</f>
        <v>0</v>
      </c>
      <c r="R250" s="3" t="n">
        <f aca="false">IF(K250="Yes",1,0)</f>
        <v>1</v>
      </c>
    </row>
    <row r="251" customFormat="false" ht="15" hidden="false" customHeight="false" outlineLevel="0" collapsed="false">
      <c r="A251" s="0" t="s">
        <v>626</v>
      </c>
      <c r="B251" s="0" t="s">
        <v>46</v>
      </c>
      <c r="C251" s="2" t="s">
        <v>343</v>
      </c>
      <c r="D251" s="2" t="s">
        <v>351</v>
      </c>
      <c r="E251" s="3" t="s">
        <v>39</v>
      </c>
      <c r="F251" s="3" t="s">
        <v>62</v>
      </c>
      <c r="G251" s="0" t="n">
        <v>367</v>
      </c>
      <c r="H251" s="4" t="n">
        <v>74.61</v>
      </c>
      <c r="I251" s="4" t="n">
        <v>71.36</v>
      </c>
      <c r="J251" s="0" t="n">
        <v>13</v>
      </c>
      <c r="K251" s="3" t="s">
        <v>24</v>
      </c>
      <c r="L251" s="3" t="n">
        <f aca="false">IF(D251="","",IF(D251-C251&lt;0,"",D251-C251))</f>
        <v>8</v>
      </c>
      <c r="M251" s="4" t="n">
        <f aca="false">G251*I251</f>
        <v>26189.12</v>
      </c>
      <c r="N251" s="5" t="n">
        <f aca="false">IF(J251="","",J251/G251*100)</f>
        <v>3.54223433242507</v>
      </c>
      <c r="O251" s="5" t="n">
        <f aca="false">(H251-I251)/H251*100</f>
        <v>4.35598445248626</v>
      </c>
      <c r="P251" s="3" t="n">
        <f aca="false">IF(OR(F251="Delivered",F251="Partially Delivered"),1,0)</f>
        <v>0</v>
      </c>
      <c r="Q251" s="3" t="n">
        <f aca="false">IF(F251="Cancelled",1,0)</f>
        <v>0</v>
      </c>
      <c r="R251" s="3" t="n">
        <f aca="false">IF(K251="Yes",1,0)</f>
        <v>1</v>
      </c>
    </row>
    <row r="252" customFormat="false" ht="15" hidden="false" customHeight="false" outlineLevel="0" collapsed="false">
      <c r="A252" s="0" t="s">
        <v>627</v>
      </c>
      <c r="B252" s="0" t="s">
        <v>46</v>
      </c>
      <c r="C252" s="2" t="s">
        <v>628</v>
      </c>
      <c r="D252" s="2" t="s">
        <v>629</v>
      </c>
      <c r="E252" s="3" t="s">
        <v>22</v>
      </c>
      <c r="F252" s="3" t="s">
        <v>58</v>
      </c>
      <c r="G252" s="0" t="n">
        <v>1750</v>
      </c>
      <c r="H252" s="4" t="n">
        <v>65.97</v>
      </c>
      <c r="I252" s="4" t="n">
        <v>58.34</v>
      </c>
      <c r="J252" s="0" t="n">
        <v>50</v>
      </c>
      <c r="K252" s="3" t="s">
        <v>24</v>
      </c>
      <c r="L252" s="3" t="n">
        <f aca="false">IF(D252="","",IF(D252-C252&lt;0,"",D252-C252))</f>
        <v>20</v>
      </c>
      <c r="M252" s="4" t="n">
        <f aca="false">G252*I252</f>
        <v>102095</v>
      </c>
      <c r="N252" s="5" t="n">
        <f aca="false">IF(J252="","",J252/G252*100)</f>
        <v>2.85714285714286</v>
      </c>
      <c r="O252" s="5" t="n">
        <f aca="false">(H252-I252)/H252*100</f>
        <v>11.5658632711839</v>
      </c>
      <c r="P252" s="3" t="n">
        <f aca="false">IF(OR(F252="Delivered",F252="Partially Delivered"),1,0)</f>
        <v>1</v>
      </c>
      <c r="Q252" s="3" t="n">
        <f aca="false">IF(F252="Cancelled",1,0)</f>
        <v>0</v>
      </c>
      <c r="R252" s="3" t="n">
        <f aca="false">IF(K252="Yes",1,0)</f>
        <v>1</v>
      </c>
    </row>
    <row r="253" customFormat="false" ht="15" hidden="false" customHeight="false" outlineLevel="0" collapsed="false">
      <c r="A253" s="0" t="s">
        <v>630</v>
      </c>
      <c r="B253" s="0" t="s">
        <v>26</v>
      </c>
      <c r="C253" s="2" t="s">
        <v>631</v>
      </c>
      <c r="D253" s="2" t="s">
        <v>632</v>
      </c>
      <c r="E253" s="3" t="s">
        <v>22</v>
      </c>
      <c r="F253" s="3" t="s">
        <v>58</v>
      </c>
      <c r="G253" s="0" t="n">
        <v>1298</v>
      </c>
      <c r="H253" s="4" t="n">
        <v>43.73</v>
      </c>
      <c r="I253" s="4" t="n">
        <v>37.21</v>
      </c>
      <c r="K253" s="3" t="s">
        <v>44</v>
      </c>
      <c r="L253" s="3" t="n">
        <f aca="false">IF(D253="","",IF(D253-C253&lt;0,"",D253-C253))</f>
        <v>18</v>
      </c>
      <c r="M253" s="4" t="n">
        <f aca="false">G253*I253</f>
        <v>48298.58</v>
      </c>
      <c r="N253" s="5" t="str">
        <f aca="false">IF(J253="","",J253/G253*100)</f>
        <v/>
      </c>
      <c r="O253" s="5" t="n">
        <f aca="false">(H253-I253)/H253*100</f>
        <v>14.9096729933684</v>
      </c>
      <c r="P253" s="3" t="n">
        <f aca="false">IF(OR(F253="Delivered",F253="Partially Delivered"),1,0)</f>
        <v>1</v>
      </c>
      <c r="Q253" s="3" t="n">
        <f aca="false">IF(F253="Cancelled",1,0)</f>
        <v>0</v>
      </c>
      <c r="R253" s="3" t="n">
        <f aca="false">IF(K253="Yes",1,0)</f>
        <v>0</v>
      </c>
    </row>
    <row r="254" customFormat="false" ht="15" hidden="false" customHeight="false" outlineLevel="0" collapsed="false">
      <c r="A254" s="0" t="s">
        <v>633</v>
      </c>
      <c r="B254" s="0" t="s">
        <v>31</v>
      </c>
      <c r="C254" s="2" t="s">
        <v>628</v>
      </c>
      <c r="D254" s="2" t="s">
        <v>629</v>
      </c>
      <c r="E254" s="3" t="s">
        <v>39</v>
      </c>
      <c r="F254" s="3" t="s">
        <v>29</v>
      </c>
      <c r="G254" s="0" t="n">
        <v>1892</v>
      </c>
      <c r="H254" s="4" t="n">
        <v>106.2</v>
      </c>
      <c r="I254" s="4" t="n">
        <v>96.37</v>
      </c>
      <c r="J254" s="0" t="n">
        <v>93</v>
      </c>
      <c r="K254" s="3" t="s">
        <v>24</v>
      </c>
      <c r="L254" s="3" t="n">
        <f aca="false">IF(D254="","",IF(D254-C254&lt;0,"",D254-C254))</f>
        <v>20</v>
      </c>
      <c r="M254" s="4" t="n">
        <f aca="false">G254*I254</f>
        <v>182332.04</v>
      </c>
      <c r="N254" s="5" t="n">
        <f aca="false">IF(J254="","",J254/G254*100)</f>
        <v>4.9154334038055</v>
      </c>
      <c r="O254" s="5" t="n">
        <f aca="false">(H254-I254)/H254*100</f>
        <v>9.25612052730697</v>
      </c>
      <c r="P254" s="3" t="n">
        <f aca="false">IF(OR(F254="Delivered",F254="Partially Delivered"),1,0)</f>
        <v>1</v>
      </c>
      <c r="Q254" s="3" t="n">
        <f aca="false">IF(F254="Cancelled",1,0)</f>
        <v>0</v>
      </c>
      <c r="R254" s="3" t="n">
        <f aca="false">IF(K254="Yes",1,0)</f>
        <v>1</v>
      </c>
    </row>
    <row r="255" customFormat="false" ht="15" hidden="false" customHeight="false" outlineLevel="0" collapsed="false">
      <c r="A255" s="0" t="s">
        <v>634</v>
      </c>
      <c r="B255" s="0" t="s">
        <v>36</v>
      </c>
      <c r="C255" s="2" t="s">
        <v>635</v>
      </c>
      <c r="D255" s="2" t="s">
        <v>636</v>
      </c>
      <c r="E255" s="3" t="s">
        <v>71</v>
      </c>
      <c r="F255" s="3" t="s">
        <v>29</v>
      </c>
      <c r="G255" s="0" t="n">
        <v>1307</v>
      </c>
      <c r="H255" s="4" t="n">
        <v>68.71</v>
      </c>
      <c r="I255" s="4" t="n">
        <v>60.64</v>
      </c>
      <c r="J255" s="0" t="n">
        <v>141</v>
      </c>
      <c r="K255" s="3" t="s">
        <v>24</v>
      </c>
      <c r="L255" s="3" t="n">
        <f aca="false">IF(D255="","",IF(D255-C255&lt;0,"",D255-C255))</f>
        <v>3</v>
      </c>
      <c r="M255" s="4" t="n">
        <f aca="false">G255*I255</f>
        <v>79256.48</v>
      </c>
      <c r="N255" s="5" t="n">
        <f aca="false">IF(J255="","",J255/G255*100)</f>
        <v>10.7880642693191</v>
      </c>
      <c r="O255" s="5" t="n">
        <f aca="false">(H255-I255)/H255*100</f>
        <v>11.7450152816184</v>
      </c>
      <c r="P255" s="3" t="n">
        <f aca="false">IF(OR(F255="Delivered",F255="Partially Delivered"),1,0)</f>
        <v>1</v>
      </c>
      <c r="Q255" s="3" t="n">
        <f aca="false">IF(F255="Cancelled",1,0)</f>
        <v>0</v>
      </c>
      <c r="R255" s="3" t="n">
        <f aca="false">IF(K255="Yes",1,0)</f>
        <v>1</v>
      </c>
    </row>
    <row r="256" customFormat="false" ht="15" hidden="false" customHeight="false" outlineLevel="0" collapsed="false">
      <c r="A256" s="0" t="s">
        <v>637</v>
      </c>
      <c r="B256" s="0" t="s">
        <v>36</v>
      </c>
      <c r="C256" s="2" t="s">
        <v>638</v>
      </c>
      <c r="D256" s="2" t="s">
        <v>639</v>
      </c>
      <c r="E256" s="3" t="s">
        <v>71</v>
      </c>
      <c r="F256" s="3" t="s">
        <v>29</v>
      </c>
      <c r="G256" s="0" t="n">
        <v>733</v>
      </c>
      <c r="H256" s="4" t="n">
        <v>32.29</v>
      </c>
      <c r="I256" s="4" t="n">
        <v>29.01</v>
      </c>
      <c r="J256" s="0" t="n">
        <v>78</v>
      </c>
      <c r="K256" s="3" t="s">
        <v>24</v>
      </c>
      <c r="L256" s="3" t="n">
        <f aca="false">IF(D256="","",IF(D256-C256&lt;0,"",D256-C256))</f>
        <v>15</v>
      </c>
      <c r="M256" s="4" t="n">
        <f aca="false">G256*I256</f>
        <v>21264.33</v>
      </c>
      <c r="N256" s="5" t="n">
        <f aca="false">IF(J256="","",J256/G256*100)</f>
        <v>10.6412005457026</v>
      </c>
      <c r="O256" s="5" t="n">
        <f aca="false">(H256-I256)/H256*100</f>
        <v>10.1579436358006</v>
      </c>
      <c r="P256" s="3" t="n">
        <f aca="false">IF(OR(F256="Delivered",F256="Partially Delivered"),1,0)</f>
        <v>1</v>
      </c>
      <c r="Q256" s="3" t="n">
        <f aca="false">IF(F256="Cancelled",1,0)</f>
        <v>0</v>
      </c>
      <c r="R256" s="3" t="n">
        <f aca="false">IF(K256="Yes",1,0)</f>
        <v>1</v>
      </c>
    </row>
    <row r="257" customFormat="false" ht="15" hidden="false" customHeight="false" outlineLevel="0" collapsed="false">
      <c r="A257" s="0" t="s">
        <v>640</v>
      </c>
      <c r="B257" s="0" t="s">
        <v>31</v>
      </c>
      <c r="C257" s="2" t="s">
        <v>641</v>
      </c>
      <c r="D257" s="2"/>
      <c r="E257" s="3" t="s">
        <v>39</v>
      </c>
      <c r="F257" s="3" t="s">
        <v>29</v>
      </c>
      <c r="G257" s="0" t="n">
        <v>713</v>
      </c>
      <c r="H257" s="4" t="n">
        <v>19.45</v>
      </c>
      <c r="I257" s="4" t="n">
        <v>18.82</v>
      </c>
      <c r="J257" s="0" t="n">
        <v>31</v>
      </c>
      <c r="K257" s="3" t="s">
        <v>24</v>
      </c>
      <c r="L257" s="0" t="str">
        <f aca="false">IF(D257="","",IF(D257-C257&lt;0,"",D257-C257))</f>
        <v/>
      </c>
      <c r="M257" s="4" t="n">
        <f aca="false">G257*I257</f>
        <v>13418.66</v>
      </c>
      <c r="N257" s="5" t="n">
        <f aca="false">IF(J257="","",J257/G257*100)</f>
        <v>4.34782608695652</v>
      </c>
      <c r="O257" s="5" t="n">
        <f aca="false">(H257-I257)/H257*100</f>
        <v>3.23907455012853</v>
      </c>
      <c r="P257" s="3" t="n">
        <f aca="false">IF(OR(F257="Delivered",F257="Partially Delivered"),1,0)</f>
        <v>1</v>
      </c>
      <c r="Q257" s="3" t="n">
        <f aca="false">IF(F257="Cancelled",1,0)</f>
        <v>0</v>
      </c>
      <c r="R257" s="3" t="n">
        <f aca="false">IF(K257="Yes",1,0)</f>
        <v>1</v>
      </c>
    </row>
    <row r="258" customFormat="false" ht="15" hidden="false" customHeight="false" outlineLevel="0" collapsed="false">
      <c r="A258" s="0" t="s">
        <v>642</v>
      </c>
      <c r="B258" s="0" t="s">
        <v>36</v>
      </c>
      <c r="C258" s="2" t="s">
        <v>154</v>
      </c>
      <c r="D258" s="2" t="s">
        <v>452</v>
      </c>
      <c r="E258" s="3" t="s">
        <v>39</v>
      </c>
      <c r="F258" s="3" t="s">
        <v>29</v>
      </c>
      <c r="G258" s="0" t="n">
        <v>1900</v>
      </c>
      <c r="H258" s="4" t="n">
        <v>24.11</v>
      </c>
      <c r="I258" s="4" t="n">
        <v>23.45</v>
      </c>
      <c r="J258" s="0" t="n">
        <v>188</v>
      </c>
      <c r="K258" s="3" t="s">
        <v>24</v>
      </c>
      <c r="L258" s="3" t="n">
        <f aca="false">IF(D258="","",IF(D258-C258&lt;0,"",D258-C258))</f>
        <v>14</v>
      </c>
      <c r="M258" s="4" t="n">
        <f aca="false">G258*I258</f>
        <v>44555</v>
      </c>
      <c r="N258" s="5" t="n">
        <f aca="false">IF(J258="","",J258/G258*100)</f>
        <v>9.89473684210526</v>
      </c>
      <c r="O258" s="5" t="n">
        <f aca="false">(H258-I258)/H258*100</f>
        <v>2.73745333886354</v>
      </c>
      <c r="P258" s="3" t="n">
        <f aca="false">IF(OR(F258="Delivered",F258="Partially Delivered"),1,0)</f>
        <v>1</v>
      </c>
      <c r="Q258" s="3" t="n">
        <f aca="false">IF(F258="Cancelled",1,0)</f>
        <v>0</v>
      </c>
      <c r="R258" s="3" t="n">
        <f aca="false">IF(K258="Yes",1,0)</f>
        <v>1</v>
      </c>
    </row>
    <row r="259" customFormat="false" ht="15" hidden="false" customHeight="false" outlineLevel="0" collapsed="false">
      <c r="A259" s="0" t="s">
        <v>643</v>
      </c>
      <c r="B259" s="0" t="s">
        <v>26</v>
      </c>
      <c r="C259" s="2" t="s">
        <v>644</v>
      </c>
      <c r="D259" s="2" t="s">
        <v>645</v>
      </c>
      <c r="E259" s="3" t="s">
        <v>34</v>
      </c>
      <c r="F259" s="3" t="s">
        <v>23</v>
      </c>
      <c r="G259" s="0" t="n">
        <v>1447</v>
      </c>
      <c r="H259" s="4" t="n">
        <v>35.67</v>
      </c>
      <c r="I259" s="4" t="n">
        <v>35.07</v>
      </c>
      <c r="J259" s="0" t="n">
        <v>224</v>
      </c>
      <c r="K259" s="3" t="s">
        <v>44</v>
      </c>
      <c r="L259" s="3" t="n">
        <f aca="false">IF(D259="","",IF(D259-C259&lt;0,"",D259-C259))</f>
        <v>2</v>
      </c>
      <c r="M259" s="4" t="n">
        <f aca="false">G259*I259</f>
        <v>50746.29</v>
      </c>
      <c r="N259" s="5" t="n">
        <f aca="false">IF(J259="","",J259/G259*100)</f>
        <v>15.4803040774015</v>
      </c>
      <c r="O259" s="5" t="n">
        <f aca="false">(H259-I259)/H259*100</f>
        <v>1.68208578637511</v>
      </c>
      <c r="P259" s="3" t="n">
        <f aca="false">IF(OR(F259="Delivered",F259="Partially Delivered"),1,0)</f>
        <v>0</v>
      </c>
      <c r="Q259" s="3" t="n">
        <f aca="false">IF(F259="Cancelled",1,0)</f>
        <v>1</v>
      </c>
      <c r="R259" s="3" t="n">
        <f aca="false">IF(K259="Yes",1,0)</f>
        <v>0</v>
      </c>
    </row>
    <row r="260" customFormat="false" ht="15" hidden="false" customHeight="false" outlineLevel="0" collapsed="false">
      <c r="A260" s="0" t="s">
        <v>646</v>
      </c>
      <c r="B260" s="0" t="s">
        <v>46</v>
      </c>
      <c r="C260" s="2" t="s">
        <v>647</v>
      </c>
      <c r="D260" s="2"/>
      <c r="E260" s="3" t="s">
        <v>22</v>
      </c>
      <c r="F260" s="3" t="s">
        <v>29</v>
      </c>
      <c r="G260" s="0" t="n">
        <v>1745</v>
      </c>
      <c r="H260" s="4" t="n">
        <v>26.17</v>
      </c>
      <c r="I260" s="4" t="n">
        <v>22.25</v>
      </c>
      <c r="J260" s="0" t="n">
        <v>55</v>
      </c>
      <c r="K260" s="3" t="s">
        <v>24</v>
      </c>
      <c r="L260" s="0" t="str">
        <f aca="false">IF(D260="","",IF(D260-C260&lt;0,"",D260-C260))</f>
        <v/>
      </c>
      <c r="M260" s="4" t="n">
        <f aca="false">G260*I260</f>
        <v>38826.25</v>
      </c>
      <c r="N260" s="5" t="n">
        <f aca="false">IF(J260="","",J260/G260*100)</f>
        <v>3.15186246418338</v>
      </c>
      <c r="O260" s="5" t="n">
        <f aca="false">(H260-I260)/H260*100</f>
        <v>14.9789835689721</v>
      </c>
      <c r="P260" s="3" t="n">
        <f aca="false">IF(OR(F260="Delivered",F260="Partially Delivered"),1,0)</f>
        <v>1</v>
      </c>
      <c r="Q260" s="3" t="n">
        <f aca="false">IF(F260="Cancelled",1,0)</f>
        <v>0</v>
      </c>
      <c r="R260" s="3" t="n">
        <f aca="false">IF(K260="Yes",1,0)</f>
        <v>1</v>
      </c>
    </row>
    <row r="261" customFormat="false" ht="15" hidden="false" customHeight="false" outlineLevel="0" collapsed="false">
      <c r="A261" s="0" t="s">
        <v>648</v>
      </c>
      <c r="B261" s="0" t="s">
        <v>36</v>
      </c>
      <c r="C261" s="2" t="s">
        <v>649</v>
      </c>
      <c r="D261" s="2" t="s">
        <v>650</v>
      </c>
      <c r="E261" s="3" t="s">
        <v>22</v>
      </c>
      <c r="F261" s="3" t="s">
        <v>29</v>
      </c>
      <c r="G261" s="0" t="n">
        <v>1681</v>
      </c>
      <c r="H261" s="4" t="n">
        <v>28.26</v>
      </c>
      <c r="I261" s="4" t="n">
        <v>26.62</v>
      </c>
      <c r="J261" s="0" t="n">
        <v>143</v>
      </c>
      <c r="K261" s="3" t="s">
        <v>24</v>
      </c>
      <c r="L261" s="3" t="n">
        <f aca="false">IF(D261="","",IF(D261-C261&lt;0,"",D261-C261))</f>
        <v>16</v>
      </c>
      <c r="M261" s="4" t="n">
        <f aca="false">G261*I261</f>
        <v>44748.22</v>
      </c>
      <c r="N261" s="5" t="n">
        <f aca="false">IF(J261="","",J261/G261*100)</f>
        <v>8.50684116597264</v>
      </c>
      <c r="O261" s="5" t="n">
        <f aca="false">(H261-I261)/H261*100</f>
        <v>5.80325548478415</v>
      </c>
      <c r="P261" s="3" t="n">
        <f aca="false">IF(OR(F261="Delivered",F261="Partially Delivered"),1,0)</f>
        <v>1</v>
      </c>
      <c r="Q261" s="3" t="n">
        <f aca="false">IF(F261="Cancelled",1,0)</f>
        <v>0</v>
      </c>
      <c r="R261" s="3" t="n">
        <f aca="false">IF(K261="Yes",1,0)</f>
        <v>1</v>
      </c>
    </row>
    <row r="262" customFormat="false" ht="15" hidden="false" customHeight="false" outlineLevel="0" collapsed="false">
      <c r="A262" s="0" t="s">
        <v>651</v>
      </c>
      <c r="B262" s="0" t="s">
        <v>26</v>
      </c>
      <c r="C262" s="2" t="s">
        <v>538</v>
      </c>
      <c r="D262" s="2" t="s">
        <v>647</v>
      </c>
      <c r="E262" s="3" t="s">
        <v>71</v>
      </c>
      <c r="F262" s="3" t="s">
        <v>29</v>
      </c>
      <c r="G262" s="0" t="n">
        <v>1545</v>
      </c>
      <c r="H262" s="4" t="n">
        <v>38.15</v>
      </c>
      <c r="I262" s="4" t="n">
        <v>36.96</v>
      </c>
      <c r="J262" s="0" t="n">
        <v>214</v>
      </c>
      <c r="K262" s="3" t="s">
        <v>24</v>
      </c>
      <c r="L262" s="3" t="n">
        <f aca="false">IF(D262="","",IF(D262-C262&lt;0,"",D262-C262))</f>
        <v>8</v>
      </c>
      <c r="M262" s="4" t="n">
        <f aca="false">G262*I262</f>
        <v>57103.2</v>
      </c>
      <c r="N262" s="5" t="n">
        <f aca="false">IF(J262="","",J262/G262*100)</f>
        <v>13.8511326860841</v>
      </c>
      <c r="O262" s="5" t="n">
        <f aca="false">(H262-I262)/H262*100</f>
        <v>3.11926605504587</v>
      </c>
      <c r="P262" s="3" t="n">
        <f aca="false">IF(OR(F262="Delivered",F262="Partially Delivered"),1,0)</f>
        <v>1</v>
      </c>
      <c r="Q262" s="3" t="n">
        <f aca="false">IF(F262="Cancelled",1,0)</f>
        <v>0</v>
      </c>
      <c r="R262" s="3" t="n">
        <f aca="false">IF(K262="Yes",1,0)</f>
        <v>1</v>
      </c>
    </row>
    <row r="263" customFormat="false" ht="15" hidden="false" customHeight="false" outlineLevel="0" collapsed="false">
      <c r="A263" s="0" t="s">
        <v>652</v>
      </c>
      <c r="B263" s="0" t="s">
        <v>46</v>
      </c>
      <c r="C263" s="2" t="s">
        <v>653</v>
      </c>
      <c r="D263" s="2" t="s">
        <v>654</v>
      </c>
      <c r="E263" s="3" t="s">
        <v>43</v>
      </c>
      <c r="F263" s="3" t="s">
        <v>29</v>
      </c>
      <c r="G263" s="0" t="n">
        <v>1306</v>
      </c>
      <c r="H263" s="4" t="n">
        <v>27.27</v>
      </c>
      <c r="I263" s="4" t="n">
        <v>25.96</v>
      </c>
      <c r="J263" s="0" t="n">
        <v>39</v>
      </c>
      <c r="K263" s="3" t="s">
        <v>24</v>
      </c>
      <c r="L263" s="3" t="n">
        <f aca="false">IF(D263="","",IF(D263-C263&lt;0,"",D263-C263))</f>
        <v>5</v>
      </c>
      <c r="M263" s="4" t="n">
        <f aca="false">G263*I263</f>
        <v>33903.76</v>
      </c>
      <c r="N263" s="5" t="n">
        <f aca="false">IF(J263="","",J263/G263*100)</f>
        <v>2.98621745788668</v>
      </c>
      <c r="O263" s="5" t="n">
        <f aca="false">(H263-I263)/H263*100</f>
        <v>4.8038137147048</v>
      </c>
      <c r="P263" s="3" t="n">
        <f aca="false">IF(OR(F263="Delivered",F263="Partially Delivered"),1,0)</f>
        <v>1</v>
      </c>
      <c r="Q263" s="3" t="n">
        <f aca="false">IF(F263="Cancelled",1,0)</f>
        <v>0</v>
      </c>
      <c r="R263" s="3" t="n">
        <f aca="false">IF(K263="Yes",1,0)</f>
        <v>1</v>
      </c>
    </row>
    <row r="264" customFormat="false" ht="15" hidden="false" customHeight="false" outlineLevel="0" collapsed="false">
      <c r="A264" s="0" t="s">
        <v>655</v>
      </c>
      <c r="B264" s="0" t="s">
        <v>31</v>
      </c>
      <c r="C264" s="2" t="s">
        <v>656</v>
      </c>
      <c r="D264" s="2" t="s">
        <v>657</v>
      </c>
      <c r="E264" s="3" t="s">
        <v>43</v>
      </c>
      <c r="F264" s="3" t="s">
        <v>29</v>
      </c>
      <c r="G264" s="0" t="n">
        <v>1765</v>
      </c>
      <c r="H264" s="4" t="n">
        <v>97.51</v>
      </c>
      <c r="I264" s="4" t="n">
        <v>84.3</v>
      </c>
      <c r="J264" s="0" t="n">
        <v>65</v>
      </c>
      <c r="K264" s="3" t="s">
        <v>24</v>
      </c>
      <c r="L264" s="3" t="n">
        <f aca="false">IF(D264="","",IF(D264-C264&lt;0,"",D264-C264))</f>
        <v>12</v>
      </c>
      <c r="M264" s="4" t="n">
        <f aca="false">G264*I264</f>
        <v>148789.5</v>
      </c>
      <c r="N264" s="5" t="n">
        <f aca="false">IF(J264="","",J264/G264*100)</f>
        <v>3.68271954674221</v>
      </c>
      <c r="O264" s="5" t="n">
        <f aca="false">(H264-I264)/H264*100</f>
        <v>13.5473284791304</v>
      </c>
      <c r="P264" s="3" t="n">
        <f aca="false">IF(OR(F264="Delivered",F264="Partially Delivered"),1,0)</f>
        <v>1</v>
      </c>
      <c r="Q264" s="3" t="n">
        <f aca="false">IF(F264="Cancelled",1,0)</f>
        <v>0</v>
      </c>
      <c r="R264" s="3" t="n">
        <f aca="false">IF(K264="Yes",1,0)</f>
        <v>1</v>
      </c>
    </row>
    <row r="265" customFormat="false" ht="15" hidden="false" customHeight="false" outlineLevel="0" collapsed="false">
      <c r="A265" s="0" t="s">
        <v>658</v>
      </c>
      <c r="B265" s="0" t="s">
        <v>31</v>
      </c>
      <c r="C265" s="2" t="s">
        <v>659</v>
      </c>
      <c r="D265" s="2" t="s">
        <v>205</v>
      </c>
      <c r="E265" s="3" t="s">
        <v>39</v>
      </c>
      <c r="F265" s="3" t="s">
        <v>23</v>
      </c>
      <c r="G265" s="0" t="n">
        <v>1186</v>
      </c>
      <c r="H265" s="4" t="n">
        <v>17.31</v>
      </c>
      <c r="I265" s="4" t="n">
        <v>16</v>
      </c>
      <c r="J265" s="0" t="n">
        <v>64</v>
      </c>
      <c r="K265" s="3" t="s">
        <v>24</v>
      </c>
      <c r="L265" s="3" t="n">
        <f aca="false">IF(D265="","",IF(D265-C265&lt;0,"",D265-C265))</f>
        <v>18</v>
      </c>
      <c r="M265" s="4" t="n">
        <f aca="false">G265*I265</f>
        <v>18976</v>
      </c>
      <c r="N265" s="5" t="n">
        <f aca="false">IF(J265="","",J265/G265*100)</f>
        <v>5.39629005059022</v>
      </c>
      <c r="O265" s="5" t="n">
        <f aca="false">(H265-I265)/H265*100</f>
        <v>7.56787983824378</v>
      </c>
      <c r="P265" s="3" t="n">
        <f aca="false">IF(OR(F265="Delivered",F265="Partially Delivered"),1,0)</f>
        <v>0</v>
      </c>
      <c r="Q265" s="3" t="n">
        <f aca="false">IF(F265="Cancelled",1,0)</f>
        <v>1</v>
      </c>
      <c r="R265" s="3" t="n">
        <f aca="false">IF(K265="Yes",1,0)</f>
        <v>1</v>
      </c>
    </row>
    <row r="266" customFormat="false" ht="15" hidden="false" customHeight="false" outlineLevel="0" collapsed="false">
      <c r="A266" s="0" t="s">
        <v>660</v>
      </c>
      <c r="B266" s="0" t="s">
        <v>26</v>
      </c>
      <c r="C266" s="2" t="s">
        <v>661</v>
      </c>
      <c r="D266" s="2" t="s">
        <v>521</v>
      </c>
      <c r="E266" s="3" t="s">
        <v>39</v>
      </c>
      <c r="F266" s="3" t="s">
        <v>29</v>
      </c>
      <c r="G266" s="0" t="n">
        <v>1903</v>
      </c>
      <c r="H266" s="4" t="n">
        <v>63.5</v>
      </c>
      <c r="I266" s="4" t="n">
        <v>56.09</v>
      </c>
      <c r="J266" s="0" t="n">
        <v>254</v>
      </c>
      <c r="K266" s="3" t="s">
        <v>24</v>
      </c>
      <c r="L266" s="3" t="n">
        <f aca="false">IF(D266="","",IF(D266-C266&lt;0,"",D266-C266))</f>
        <v>5</v>
      </c>
      <c r="M266" s="4" t="n">
        <f aca="false">G266*I266</f>
        <v>106739.27</v>
      </c>
      <c r="N266" s="5" t="n">
        <f aca="false">IF(J266="","",J266/G266*100)</f>
        <v>13.3473462953232</v>
      </c>
      <c r="O266" s="5" t="n">
        <f aca="false">(H266-I266)/H266*100</f>
        <v>11.6692913385827</v>
      </c>
      <c r="P266" s="3" t="n">
        <f aca="false">IF(OR(F266="Delivered",F266="Partially Delivered"),1,0)</f>
        <v>1</v>
      </c>
      <c r="Q266" s="3" t="n">
        <f aca="false">IF(F266="Cancelled",1,0)</f>
        <v>0</v>
      </c>
      <c r="R266" s="3" t="n">
        <f aca="false">IF(K266="Yes",1,0)</f>
        <v>1</v>
      </c>
    </row>
    <row r="267" customFormat="false" ht="15" hidden="false" customHeight="false" outlineLevel="0" collapsed="false">
      <c r="A267" s="0" t="s">
        <v>662</v>
      </c>
      <c r="B267" s="0" t="s">
        <v>26</v>
      </c>
      <c r="C267" s="2" t="s">
        <v>663</v>
      </c>
      <c r="D267" s="2" t="s">
        <v>664</v>
      </c>
      <c r="E267" s="3" t="s">
        <v>34</v>
      </c>
      <c r="F267" s="3" t="s">
        <v>29</v>
      </c>
      <c r="G267" s="0" t="n">
        <v>1570</v>
      </c>
      <c r="H267" s="4" t="n">
        <v>52.1</v>
      </c>
      <c r="I267" s="4" t="n">
        <v>47.87</v>
      </c>
      <c r="K267" s="3" t="s">
        <v>44</v>
      </c>
      <c r="L267" s="3" t="n">
        <f aca="false">IF(D267="","",IF(D267-C267&lt;0,"",D267-C267))</f>
        <v>4</v>
      </c>
      <c r="M267" s="4" t="n">
        <f aca="false">G267*I267</f>
        <v>75155.9</v>
      </c>
      <c r="N267" s="5" t="str">
        <f aca="false">IF(J267="","",J267/G267*100)</f>
        <v/>
      </c>
      <c r="O267" s="5" t="n">
        <f aca="false">(H267-I267)/H267*100</f>
        <v>8.1190019193858</v>
      </c>
      <c r="P267" s="3" t="n">
        <f aca="false">IF(OR(F267="Delivered",F267="Partially Delivered"),1,0)</f>
        <v>1</v>
      </c>
      <c r="Q267" s="3" t="n">
        <f aca="false">IF(F267="Cancelled",1,0)</f>
        <v>0</v>
      </c>
      <c r="R267" s="3" t="n">
        <f aca="false">IF(K267="Yes",1,0)</f>
        <v>0</v>
      </c>
    </row>
    <row r="268" customFormat="false" ht="15" hidden="false" customHeight="false" outlineLevel="0" collapsed="false">
      <c r="A268" s="0" t="s">
        <v>665</v>
      </c>
      <c r="B268" s="0" t="s">
        <v>26</v>
      </c>
      <c r="C268" s="2" t="s">
        <v>666</v>
      </c>
      <c r="D268" s="2" t="s">
        <v>667</v>
      </c>
      <c r="E268" s="3" t="s">
        <v>34</v>
      </c>
      <c r="F268" s="3" t="s">
        <v>29</v>
      </c>
      <c r="G268" s="0" t="n">
        <v>491</v>
      </c>
      <c r="H268" s="4" t="n">
        <v>108.75</v>
      </c>
      <c r="I268" s="4" t="n">
        <v>93.35</v>
      </c>
      <c r="K268" s="3" t="s">
        <v>44</v>
      </c>
      <c r="L268" s="3" t="n">
        <f aca="false">IF(D268="","",IF(D268-C268&lt;0,"",D268-C268))</f>
        <v>20</v>
      </c>
      <c r="M268" s="4" t="n">
        <f aca="false">G268*I268</f>
        <v>45834.85</v>
      </c>
      <c r="N268" s="5" t="str">
        <f aca="false">IF(J268="","",J268/G268*100)</f>
        <v/>
      </c>
      <c r="O268" s="5" t="n">
        <f aca="false">(H268-I268)/H268*100</f>
        <v>14.1609195402299</v>
      </c>
      <c r="P268" s="3" t="n">
        <f aca="false">IF(OR(F268="Delivered",F268="Partially Delivered"),1,0)</f>
        <v>1</v>
      </c>
      <c r="Q268" s="3" t="n">
        <f aca="false">IF(F268="Cancelled",1,0)</f>
        <v>0</v>
      </c>
      <c r="R268" s="3" t="n">
        <f aca="false">IF(K268="Yes",1,0)</f>
        <v>0</v>
      </c>
    </row>
    <row r="269" customFormat="false" ht="15" hidden="false" customHeight="false" outlineLevel="0" collapsed="false">
      <c r="A269" s="0" t="s">
        <v>668</v>
      </c>
      <c r="B269" s="0" t="s">
        <v>36</v>
      </c>
      <c r="C269" s="2" t="s">
        <v>219</v>
      </c>
      <c r="D269" s="2" t="s">
        <v>669</v>
      </c>
      <c r="E269" s="3" t="s">
        <v>71</v>
      </c>
      <c r="F269" s="3" t="s">
        <v>58</v>
      </c>
      <c r="G269" s="0" t="n">
        <v>613</v>
      </c>
      <c r="H269" s="4" t="n">
        <v>20.38</v>
      </c>
      <c r="I269" s="4" t="n">
        <v>20.17</v>
      </c>
      <c r="J269" s="0" t="n">
        <v>58</v>
      </c>
      <c r="K269" s="3" t="s">
        <v>24</v>
      </c>
      <c r="L269" s="3" t="n">
        <f aca="false">IF(D269="","",IF(D269-C269&lt;0,"",D269-C269))</f>
        <v>9</v>
      </c>
      <c r="M269" s="4" t="n">
        <f aca="false">G269*I269</f>
        <v>12364.21</v>
      </c>
      <c r="N269" s="5" t="n">
        <f aca="false">IF(J269="","",J269/G269*100)</f>
        <v>9.46166394779772</v>
      </c>
      <c r="O269" s="5" t="n">
        <f aca="false">(H269-I269)/H269*100</f>
        <v>1.03042198233561</v>
      </c>
      <c r="P269" s="3" t="n">
        <f aca="false">IF(OR(F269="Delivered",F269="Partially Delivered"),1,0)</f>
        <v>1</v>
      </c>
      <c r="Q269" s="3" t="n">
        <f aca="false">IF(F269="Cancelled",1,0)</f>
        <v>0</v>
      </c>
      <c r="R269" s="3" t="n">
        <f aca="false">IF(K269="Yes",1,0)</f>
        <v>1</v>
      </c>
    </row>
    <row r="270" customFormat="false" ht="15" hidden="false" customHeight="false" outlineLevel="0" collapsed="false">
      <c r="A270" s="0" t="s">
        <v>670</v>
      </c>
      <c r="B270" s="0" t="s">
        <v>31</v>
      </c>
      <c r="C270" s="2" t="s">
        <v>208</v>
      </c>
      <c r="D270" s="2" t="s">
        <v>671</v>
      </c>
      <c r="E270" s="3" t="s">
        <v>43</v>
      </c>
      <c r="F270" s="3" t="s">
        <v>58</v>
      </c>
      <c r="G270" s="0" t="n">
        <v>1341</v>
      </c>
      <c r="H270" s="4" t="n">
        <v>46.27</v>
      </c>
      <c r="I270" s="4" t="n">
        <v>43.94</v>
      </c>
      <c r="J270" s="0" t="n">
        <v>63</v>
      </c>
      <c r="K270" s="3" t="s">
        <v>24</v>
      </c>
      <c r="L270" s="3" t="n">
        <f aca="false">IF(D270="","",IF(D270-C270&lt;0,"",D270-C270))</f>
        <v>12</v>
      </c>
      <c r="M270" s="4" t="n">
        <f aca="false">G270*I270</f>
        <v>58923.54</v>
      </c>
      <c r="N270" s="5" t="n">
        <f aca="false">IF(J270="","",J270/G270*100)</f>
        <v>4.69798657718121</v>
      </c>
      <c r="O270" s="5" t="n">
        <f aca="false">(H270-I270)/H270*100</f>
        <v>5.03566025502487</v>
      </c>
      <c r="P270" s="3" t="n">
        <f aca="false">IF(OR(F270="Delivered",F270="Partially Delivered"),1,0)</f>
        <v>1</v>
      </c>
      <c r="Q270" s="3" t="n">
        <f aca="false">IF(F270="Cancelled",1,0)</f>
        <v>0</v>
      </c>
      <c r="R270" s="3" t="n">
        <f aca="false">IF(K270="Yes",1,0)</f>
        <v>1</v>
      </c>
    </row>
    <row r="271" customFormat="false" ht="15" hidden="false" customHeight="false" outlineLevel="0" collapsed="false">
      <c r="A271" s="0" t="s">
        <v>672</v>
      </c>
      <c r="B271" s="0" t="s">
        <v>36</v>
      </c>
      <c r="C271" s="2" t="s">
        <v>673</v>
      </c>
      <c r="D271" s="2" t="s">
        <v>549</v>
      </c>
      <c r="E271" s="3" t="s">
        <v>34</v>
      </c>
      <c r="F271" s="3" t="s">
        <v>58</v>
      </c>
      <c r="G271" s="0" t="n">
        <v>1583</v>
      </c>
      <c r="H271" s="4" t="n">
        <v>103.57</v>
      </c>
      <c r="I271" s="4" t="n">
        <v>89.38</v>
      </c>
      <c r="J271" s="0" t="n">
        <v>164</v>
      </c>
      <c r="K271" s="3" t="s">
        <v>24</v>
      </c>
      <c r="L271" s="3" t="n">
        <f aca="false">IF(D271="","",IF(D271-C271&lt;0,"",D271-C271))</f>
        <v>15</v>
      </c>
      <c r="M271" s="4" t="n">
        <f aca="false">G271*I271</f>
        <v>141488.54</v>
      </c>
      <c r="N271" s="5" t="n">
        <f aca="false">IF(J271="","",J271/G271*100)</f>
        <v>10.3600758054327</v>
      </c>
      <c r="O271" s="5" t="n">
        <f aca="false">(H271-I271)/H271*100</f>
        <v>13.7008786328087</v>
      </c>
      <c r="P271" s="3" t="n">
        <f aca="false">IF(OR(F271="Delivered",F271="Partially Delivered"),1,0)</f>
        <v>1</v>
      </c>
      <c r="Q271" s="3" t="n">
        <f aca="false">IF(F271="Cancelled",1,0)</f>
        <v>0</v>
      </c>
      <c r="R271" s="3" t="n">
        <f aca="false">IF(K271="Yes",1,0)</f>
        <v>1</v>
      </c>
    </row>
    <row r="272" customFormat="false" ht="15" hidden="false" customHeight="false" outlineLevel="0" collapsed="false">
      <c r="A272" s="0" t="s">
        <v>674</v>
      </c>
      <c r="B272" s="0" t="s">
        <v>36</v>
      </c>
      <c r="C272" s="2" t="s">
        <v>294</v>
      </c>
      <c r="D272" s="2"/>
      <c r="E272" s="3" t="s">
        <v>43</v>
      </c>
      <c r="F272" s="3" t="s">
        <v>23</v>
      </c>
      <c r="G272" s="0" t="n">
        <v>1880</v>
      </c>
      <c r="H272" s="4" t="n">
        <v>92.73</v>
      </c>
      <c r="I272" s="4" t="n">
        <v>90.78</v>
      </c>
      <c r="J272" s="0" t="n">
        <v>173</v>
      </c>
      <c r="K272" s="3" t="s">
        <v>24</v>
      </c>
      <c r="L272" s="0" t="str">
        <f aca="false">IF(D272="","",IF(D272-C272&lt;0,"",D272-C272))</f>
        <v/>
      </c>
      <c r="M272" s="4" t="n">
        <f aca="false">G272*I272</f>
        <v>170666.4</v>
      </c>
      <c r="N272" s="5" t="n">
        <f aca="false">IF(J272="","",J272/G272*100)</f>
        <v>9.20212765957447</v>
      </c>
      <c r="O272" s="5" t="n">
        <f aca="false">(H272-I272)/H272*100</f>
        <v>2.10287932707862</v>
      </c>
      <c r="P272" s="3" t="n">
        <f aca="false">IF(OR(F272="Delivered",F272="Partially Delivered"),1,0)</f>
        <v>0</v>
      </c>
      <c r="Q272" s="3" t="n">
        <f aca="false">IF(F272="Cancelled",1,0)</f>
        <v>1</v>
      </c>
      <c r="R272" s="3" t="n">
        <f aca="false">IF(K272="Yes",1,0)</f>
        <v>1</v>
      </c>
    </row>
    <row r="273" customFormat="false" ht="15" hidden="false" customHeight="false" outlineLevel="0" collapsed="false">
      <c r="A273" s="0" t="s">
        <v>675</v>
      </c>
      <c r="B273" s="0" t="s">
        <v>46</v>
      </c>
      <c r="C273" s="2" t="s">
        <v>222</v>
      </c>
      <c r="D273" s="2" t="s">
        <v>676</v>
      </c>
      <c r="E273" s="3" t="s">
        <v>34</v>
      </c>
      <c r="F273" s="3" t="s">
        <v>29</v>
      </c>
      <c r="G273" s="0" t="n">
        <v>1459</v>
      </c>
      <c r="H273" s="4" t="n">
        <v>84.79</v>
      </c>
      <c r="I273" s="4" t="n">
        <v>82.72</v>
      </c>
      <c r="J273" s="0" t="n">
        <v>47</v>
      </c>
      <c r="K273" s="3" t="s">
        <v>24</v>
      </c>
      <c r="L273" s="3" t="n">
        <f aca="false">IF(D273="","",IF(D273-C273&lt;0,"",D273-C273))</f>
        <v>4</v>
      </c>
      <c r="M273" s="4" t="n">
        <f aca="false">G273*I273</f>
        <v>120688.48</v>
      </c>
      <c r="N273" s="5" t="n">
        <f aca="false">IF(J273="","",J273/G273*100)</f>
        <v>3.22138450993831</v>
      </c>
      <c r="O273" s="5" t="n">
        <f aca="false">(H273-I273)/H273*100</f>
        <v>2.44132562802218</v>
      </c>
      <c r="P273" s="3" t="n">
        <f aca="false">IF(OR(F273="Delivered",F273="Partially Delivered"),1,0)</f>
        <v>1</v>
      </c>
      <c r="Q273" s="3" t="n">
        <f aca="false">IF(F273="Cancelled",1,0)</f>
        <v>0</v>
      </c>
      <c r="R273" s="3" t="n">
        <f aca="false">IF(K273="Yes",1,0)</f>
        <v>1</v>
      </c>
    </row>
    <row r="274" customFormat="false" ht="15" hidden="false" customHeight="false" outlineLevel="0" collapsed="false">
      <c r="A274" s="0" t="s">
        <v>677</v>
      </c>
      <c r="B274" s="0" t="s">
        <v>26</v>
      </c>
      <c r="C274" s="2" t="s">
        <v>678</v>
      </c>
      <c r="D274" s="2"/>
      <c r="E274" s="3" t="s">
        <v>22</v>
      </c>
      <c r="F274" s="3" t="s">
        <v>29</v>
      </c>
      <c r="G274" s="0" t="n">
        <v>1460</v>
      </c>
      <c r="H274" s="4" t="n">
        <v>34.54</v>
      </c>
      <c r="I274" s="4" t="n">
        <v>31.87</v>
      </c>
      <c r="J274" s="0" t="n">
        <v>208</v>
      </c>
      <c r="K274" s="3" t="s">
        <v>44</v>
      </c>
      <c r="L274" s="0" t="str">
        <f aca="false">IF(D274="","",IF(D274-C274&lt;0,"",D274-C274))</f>
        <v/>
      </c>
      <c r="M274" s="4" t="n">
        <f aca="false">G274*I274</f>
        <v>46530.2</v>
      </c>
      <c r="N274" s="5" t="n">
        <f aca="false">IF(J274="","",J274/G274*100)</f>
        <v>14.2465753424658</v>
      </c>
      <c r="O274" s="5" t="n">
        <f aca="false">(H274-I274)/H274*100</f>
        <v>7.73016792125072</v>
      </c>
      <c r="P274" s="3" t="n">
        <f aca="false">IF(OR(F274="Delivered",F274="Partially Delivered"),1,0)</f>
        <v>1</v>
      </c>
      <c r="Q274" s="3" t="n">
        <f aca="false">IF(F274="Cancelled",1,0)</f>
        <v>0</v>
      </c>
      <c r="R274" s="3" t="n">
        <f aca="false">IF(K274="Yes",1,0)</f>
        <v>0</v>
      </c>
    </row>
    <row r="275" customFormat="false" ht="15" hidden="false" customHeight="false" outlineLevel="0" collapsed="false">
      <c r="A275" s="0" t="s">
        <v>679</v>
      </c>
      <c r="B275" s="0" t="s">
        <v>36</v>
      </c>
      <c r="C275" s="2" t="s">
        <v>198</v>
      </c>
      <c r="D275" s="2" t="s">
        <v>463</v>
      </c>
      <c r="E275" s="3" t="s">
        <v>39</v>
      </c>
      <c r="F275" s="3" t="s">
        <v>58</v>
      </c>
      <c r="G275" s="0" t="n">
        <v>1186</v>
      </c>
      <c r="H275" s="4" t="n">
        <v>26.14</v>
      </c>
      <c r="I275" s="4" t="n">
        <v>24.78</v>
      </c>
      <c r="J275" s="0" t="n">
        <v>112</v>
      </c>
      <c r="K275" s="3" t="s">
        <v>24</v>
      </c>
      <c r="L275" s="3" t="n">
        <f aca="false">IF(D275="","",IF(D275-C275&lt;0,"",D275-C275))</f>
        <v>12</v>
      </c>
      <c r="M275" s="4" t="n">
        <f aca="false">G275*I275</f>
        <v>29389.08</v>
      </c>
      <c r="N275" s="5" t="n">
        <f aca="false">IF(J275="","",J275/G275*100)</f>
        <v>9.44350758853288</v>
      </c>
      <c r="O275" s="5" t="n">
        <f aca="false">(H275-I275)/H275*100</f>
        <v>5.20275439938791</v>
      </c>
      <c r="P275" s="3" t="n">
        <f aca="false">IF(OR(F275="Delivered",F275="Partially Delivered"),1,0)</f>
        <v>1</v>
      </c>
      <c r="Q275" s="3" t="n">
        <f aca="false">IF(F275="Cancelled",1,0)</f>
        <v>0</v>
      </c>
      <c r="R275" s="3" t="n">
        <f aca="false">IF(K275="Yes",1,0)</f>
        <v>1</v>
      </c>
    </row>
    <row r="276" customFormat="false" ht="15" hidden="false" customHeight="false" outlineLevel="0" collapsed="false">
      <c r="A276" s="0" t="s">
        <v>680</v>
      </c>
      <c r="B276" s="0" t="s">
        <v>46</v>
      </c>
      <c r="C276" s="2" t="s">
        <v>638</v>
      </c>
      <c r="D276" s="2" t="s">
        <v>99</v>
      </c>
      <c r="E276" s="3" t="s">
        <v>34</v>
      </c>
      <c r="F276" s="3" t="s">
        <v>62</v>
      </c>
      <c r="G276" s="0" t="n">
        <v>1686</v>
      </c>
      <c r="H276" s="4" t="n">
        <v>72.28</v>
      </c>
      <c r="I276" s="4" t="n">
        <v>65.21</v>
      </c>
      <c r="J276" s="0" t="n">
        <v>53</v>
      </c>
      <c r="K276" s="3" t="s">
        <v>24</v>
      </c>
      <c r="L276" s="3" t="n">
        <f aca="false">IF(D276="","",IF(D276-C276&lt;0,"",D276-C276))</f>
        <v>9</v>
      </c>
      <c r="M276" s="4" t="n">
        <f aca="false">G276*I276</f>
        <v>109944.06</v>
      </c>
      <c r="N276" s="5" t="n">
        <f aca="false">IF(J276="","",J276/G276*100)</f>
        <v>3.1435349940688</v>
      </c>
      <c r="O276" s="5" t="n">
        <f aca="false">(H276-I276)/H276*100</f>
        <v>9.78140564471501</v>
      </c>
      <c r="P276" s="3" t="n">
        <f aca="false">IF(OR(F276="Delivered",F276="Partially Delivered"),1,0)</f>
        <v>0</v>
      </c>
      <c r="Q276" s="3" t="n">
        <f aca="false">IF(F276="Cancelled",1,0)</f>
        <v>0</v>
      </c>
      <c r="R276" s="3" t="n">
        <f aca="false">IF(K276="Yes",1,0)</f>
        <v>1</v>
      </c>
    </row>
    <row r="277" customFormat="false" ht="15" hidden="false" customHeight="false" outlineLevel="0" collapsed="false">
      <c r="A277" s="0" t="s">
        <v>681</v>
      </c>
      <c r="B277" s="0" t="s">
        <v>19</v>
      </c>
      <c r="C277" s="2" t="s">
        <v>172</v>
      </c>
      <c r="D277" s="2" t="s">
        <v>682</v>
      </c>
      <c r="E277" s="3" t="s">
        <v>34</v>
      </c>
      <c r="F277" s="3" t="s">
        <v>29</v>
      </c>
      <c r="G277" s="0" t="n">
        <v>1698</v>
      </c>
      <c r="H277" s="4" t="n">
        <v>102.07</v>
      </c>
      <c r="I277" s="4" t="n">
        <v>100.69</v>
      </c>
      <c r="J277" s="0" t="n">
        <v>28</v>
      </c>
      <c r="K277" s="3" t="s">
        <v>24</v>
      </c>
      <c r="L277" s="3" t="n">
        <f aca="false">IF(D277="","",IF(D277-C277&lt;0,"",D277-C277))</f>
        <v>4</v>
      </c>
      <c r="M277" s="4" t="n">
        <f aca="false">G277*I277</f>
        <v>170971.62</v>
      </c>
      <c r="N277" s="5" t="n">
        <f aca="false">IF(J277="","",J277/G277*100)</f>
        <v>1.6489988221437</v>
      </c>
      <c r="O277" s="5" t="n">
        <f aca="false">(H277-I277)/H277*100</f>
        <v>1.35201332418928</v>
      </c>
      <c r="P277" s="3" t="n">
        <f aca="false">IF(OR(F277="Delivered",F277="Partially Delivered"),1,0)</f>
        <v>1</v>
      </c>
      <c r="Q277" s="3" t="n">
        <f aca="false">IF(F277="Cancelled",1,0)</f>
        <v>0</v>
      </c>
      <c r="R277" s="3" t="n">
        <f aca="false">IF(K277="Yes",1,0)</f>
        <v>1</v>
      </c>
    </row>
    <row r="278" customFormat="false" ht="15" hidden="false" customHeight="false" outlineLevel="0" collapsed="false">
      <c r="A278" s="0" t="s">
        <v>683</v>
      </c>
      <c r="B278" s="0" t="s">
        <v>46</v>
      </c>
      <c r="C278" s="2" t="s">
        <v>115</v>
      </c>
      <c r="D278" s="2"/>
      <c r="E278" s="3" t="s">
        <v>71</v>
      </c>
      <c r="F278" s="3" t="s">
        <v>29</v>
      </c>
      <c r="G278" s="0" t="n">
        <v>1001</v>
      </c>
      <c r="H278" s="4" t="n">
        <v>64.62</v>
      </c>
      <c r="I278" s="4" t="n">
        <v>55.7</v>
      </c>
      <c r="J278" s="0" t="n">
        <v>32</v>
      </c>
      <c r="K278" s="3" t="s">
        <v>24</v>
      </c>
      <c r="L278" s="0" t="str">
        <f aca="false">IF(D278="","",IF(D278-C278&lt;0,"",D278-C278))</f>
        <v/>
      </c>
      <c r="M278" s="4" t="n">
        <f aca="false">G278*I278</f>
        <v>55755.7</v>
      </c>
      <c r="N278" s="5" t="n">
        <f aca="false">IF(J278="","",J278/G278*100)</f>
        <v>3.1968031968032</v>
      </c>
      <c r="O278" s="5" t="n">
        <f aca="false">(H278-I278)/H278*100</f>
        <v>13.8037759207676</v>
      </c>
      <c r="P278" s="3" t="n">
        <f aca="false">IF(OR(F278="Delivered",F278="Partially Delivered"),1,0)</f>
        <v>1</v>
      </c>
      <c r="Q278" s="3" t="n">
        <f aca="false">IF(F278="Cancelled",1,0)</f>
        <v>0</v>
      </c>
      <c r="R278" s="3" t="n">
        <f aca="false">IF(K278="Yes",1,0)</f>
        <v>1</v>
      </c>
    </row>
    <row r="279" customFormat="false" ht="15" hidden="false" customHeight="false" outlineLevel="0" collapsed="false">
      <c r="A279" s="0" t="s">
        <v>684</v>
      </c>
      <c r="B279" s="0" t="s">
        <v>19</v>
      </c>
      <c r="C279" s="2" t="s">
        <v>685</v>
      </c>
      <c r="D279" s="2" t="s">
        <v>334</v>
      </c>
      <c r="E279" s="3" t="s">
        <v>22</v>
      </c>
      <c r="F279" s="3" t="s">
        <v>29</v>
      </c>
      <c r="G279" s="0" t="n">
        <v>1154</v>
      </c>
      <c r="H279" s="4" t="n">
        <v>62.67</v>
      </c>
      <c r="I279" s="4" t="n">
        <v>54.11</v>
      </c>
      <c r="J279" s="0" t="n">
        <v>25</v>
      </c>
      <c r="K279" s="3" t="s">
        <v>24</v>
      </c>
      <c r="L279" s="3" t="n">
        <f aca="false">IF(D279="","",IF(D279-C279&lt;0,"",D279-C279))</f>
        <v>3</v>
      </c>
      <c r="M279" s="4" t="n">
        <f aca="false">G279*I279</f>
        <v>62442.94</v>
      </c>
      <c r="N279" s="5" t="n">
        <f aca="false">IF(J279="","",J279/G279*100)</f>
        <v>2.16637781629116</v>
      </c>
      <c r="O279" s="5" t="n">
        <f aca="false">(H279-I279)/H279*100</f>
        <v>13.6588479336206</v>
      </c>
      <c r="P279" s="3" t="n">
        <f aca="false">IF(OR(F279="Delivered",F279="Partially Delivered"),1,0)</f>
        <v>1</v>
      </c>
      <c r="Q279" s="3" t="n">
        <f aca="false">IF(F279="Cancelled",1,0)</f>
        <v>0</v>
      </c>
      <c r="R279" s="3" t="n">
        <f aca="false">IF(K279="Yes",1,0)</f>
        <v>1</v>
      </c>
    </row>
    <row r="280" customFormat="false" ht="15" hidden="false" customHeight="false" outlineLevel="0" collapsed="false">
      <c r="A280" s="0" t="s">
        <v>686</v>
      </c>
      <c r="B280" s="0" t="s">
        <v>19</v>
      </c>
      <c r="C280" s="2" t="s">
        <v>69</v>
      </c>
      <c r="D280" s="2" t="s">
        <v>687</v>
      </c>
      <c r="E280" s="3" t="s">
        <v>39</v>
      </c>
      <c r="F280" s="3" t="s">
        <v>23</v>
      </c>
      <c r="G280" s="0" t="n">
        <v>748</v>
      </c>
      <c r="H280" s="4" t="n">
        <v>37.66</v>
      </c>
      <c r="I280" s="4" t="n">
        <v>32.71</v>
      </c>
      <c r="K280" s="3" t="s">
        <v>44</v>
      </c>
      <c r="L280" s="3" t="n">
        <f aca="false">IF(D280="","",IF(D280-C280&lt;0,"",D280-C280))</f>
        <v>20</v>
      </c>
      <c r="M280" s="4" t="n">
        <f aca="false">G280*I280</f>
        <v>24467.08</v>
      </c>
      <c r="N280" s="5" t="str">
        <f aca="false">IF(J280="","",J280/G280*100)</f>
        <v/>
      </c>
      <c r="O280" s="5" t="n">
        <f aca="false">(H280-I280)/H280*100</f>
        <v>13.1439192777483</v>
      </c>
      <c r="P280" s="3" t="n">
        <f aca="false">IF(OR(F280="Delivered",F280="Partially Delivered"),1,0)</f>
        <v>0</v>
      </c>
      <c r="Q280" s="3" t="n">
        <f aca="false">IF(F280="Cancelled",1,0)</f>
        <v>1</v>
      </c>
      <c r="R280" s="3" t="n">
        <f aca="false">IF(K280="Yes",1,0)</f>
        <v>0</v>
      </c>
    </row>
    <row r="281" customFormat="false" ht="15" hidden="false" customHeight="false" outlineLevel="0" collapsed="false">
      <c r="A281" s="0" t="s">
        <v>688</v>
      </c>
      <c r="B281" s="0" t="s">
        <v>19</v>
      </c>
      <c r="C281" s="2" t="s">
        <v>689</v>
      </c>
      <c r="D281" s="2"/>
      <c r="E281" s="3" t="s">
        <v>22</v>
      </c>
      <c r="F281" s="3" t="s">
        <v>29</v>
      </c>
      <c r="G281" s="0" t="n">
        <v>162</v>
      </c>
      <c r="H281" s="4" t="n">
        <v>81.63</v>
      </c>
      <c r="I281" s="4" t="n">
        <v>78.76</v>
      </c>
      <c r="J281" s="0" t="n">
        <v>2</v>
      </c>
      <c r="K281" s="3" t="s">
        <v>24</v>
      </c>
      <c r="L281" s="0" t="str">
        <f aca="false">IF(D281="","",IF(D281-C281&lt;0,"",D281-C281))</f>
        <v/>
      </c>
      <c r="M281" s="4" t="n">
        <f aca="false">G281*I281</f>
        <v>12759.12</v>
      </c>
      <c r="N281" s="5" t="n">
        <f aca="false">IF(J281="","",J281/G281*100)</f>
        <v>1.23456790123457</v>
      </c>
      <c r="O281" s="5" t="n">
        <f aca="false">(H281-I281)/H281*100</f>
        <v>3.51586426558862</v>
      </c>
      <c r="P281" s="3" t="n">
        <f aca="false">IF(OR(F281="Delivered",F281="Partially Delivered"),1,0)</f>
        <v>1</v>
      </c>
      <c r="Q281" s="3" t="n">
        <f aca="false">IF(F281="Cancelled",1,0)</f>
        <v>0</v>
      </c>
      <c r="R281" s="3" t="n">
        <f aca="false">IF(K281="Yes",1,0)</f>
        <v>1</v>
      </c>
    </row>
    <row r="282" customFormat="false" ht="15" hidden="false" customHeight="false" outlineLevel="0" collapsed="false">
      <c r="A282" s="0" t="s">
        <v>690</v>
      </c>
      <c r="B282" s="0" t="s">
        <v>19</v>
      </c>
      <c r="C282" s="2" t="s">
        <v>337</v>
      </c>
      <c r="D282" s="2" t="s">
        <v>216</v>
      </c>
      <c r="E282" s="3" t="s">
        <v>39</v>
      </c>
      <c r="F282" s="3" t="s">
        <v>29</v>
      </c>
      <c r="G282" s="0" t="n">
        <v>51</v>
      </c>
      <c r="H282" s="4" t="n">
        <v>28.04</v>
      </c>
      <c r="I282" s="4" t="n">
        <v>24.13</v>
      </c>
      <c r="J282" s="0" t="n">
        <v>0</v>
      </c>
      <c r="K282" s="3" t="s">
        <v>24</v>
      </c>
      <c r="L282" s="3" t="n">
        <f aca="false">IF(D282="","",IF(D282-C282&lt;0,"",D282-C282))</f>
        <v>11</v>
      </c>
      <c r="M282" s="4" t="n">
        <f aca="false">G282*I282</f>
        <v>1230.63</v>
      </c>
      <c r="N282" s="5" t="n">
        <f aca="false">IF(J282="","",J282/G282*100)</f>
        <v>0</v>
      </c>
      <c r="O282" s="5" t="n">
        <f aca="false">(H282-I282)/H282*100</f>
        <v>13.944365192582</v>
      </c>
      <c r="P282" s="3" t="n">
        <f aca="false">IF(OR(F282="Delivered",F282="Partially Delivered"),1,0)</f>
        <v>1</v>
      </c>
      <c r="Q282" s="3" t="n">
        <f aca="false">IF(F282="Cancelled",1,0)</f>
        <v>0</v>
      </c>
      <c r="R282" s="3" t="n">
        <f aca="false">IF(K282="Yes",1,0)</f>
        <v>1</v>
      </c>
    </row>
    <row r="283" customFormat="false" ht="15" hidden="false" customHeight="false" outlineLevel="0" collapsed="false">
      <c r="A283" s="0" t="s">
        <v>691</v>
      </c>
      <c r="B283" s="0" t="s">
        <v>26</v>
      </c>
      <c r="C283" s="2" t="s">
        <v>274</v>
      </c>
      <c r="D283" s="2" t="s">
        <v>656</v>
      </c>
      <c r="E283" s="3" t="s">
        <v>22</v>
      </c>
      <c r="F283" s="3" t="s">
        <v>29</v>
      </c>
      <c r="G283" s="0" t="n">
        <v>691</v>
      </c>
      <c r="H283" s="4" t="n">
        <v>42.07</v>
      </c>
      <c r="I283" s="4" t="n">
        <v>39.1</v>
      </c>
      <c r="J283" s="0" t="n">
        <v>106</v>
      </c>
      <c r="K283" s="3" t="s">
        <v>24</v>
      </c>
      <c r="L283" s="3" t="n">
        <f aca="false">IF(D283="","",IF(D283-C283&lt;0,"",D283-C283))</f>
        <v>5</v>
      </c>
      <c r="M283" s="4" t="n">
        <f aca="false">G283*I283</f>
        <v>27018.1</v>
      </c>
      <c r="N283" s="5" t="n">
        <f aca="false">IF(J283="","",J283/G283*100)</f>
        <v>15.3400868306802</v>
      </c>
      <c r="O283" s="5" t="n">
        <f aca="false">(H283-I283)/H283*100</f>
        <v>7.05966246731637</v>
      </c>
      <c r="P283" s="3" t="n">
        <f aca="false">IF(OR(F283="Delivered",F283="Partially Delivered"),1,0)</f>
        <v>1</v>
      </c>
      <c r="Q283" s="3" t="n">
        <f aca="false">IF(F283="Cancelled",1,0)</f>
        <v>0</v>
      </c>
      <c r="R283" s="3" t="n">
        <f aca="false">IF(K283="Yes",1,0)</f>
        <v>1</v>
      </c>
    </row>
    <row r="284" customFormat="false" ht="15" hidden="false" customHeight="false" outlineLevel="0" collapsed="false">
      <c r="A284" s="0" t="s">
        <v>692</v>
      </c>
      <c r="B284" s="0" t="s">
        <v>36</v>
      </c>
      <c r="C284" s="2" t="s">
        <v>693</v>
      </c>
      <c r="D284" s="2" t="s">
        <v>42</v>
      </c>
      <c r="E284" s="3" t="s">
        <v>22</v>
      </c>
      <c r="F284" s="3" t="s">
        <v>29</v>
      </c>
      <c r="G284" s="0" t="n">
        <v>269</v>
      </c>
      <c r="H284" s="4" t="n">
        <v>50.22</v>
      </c>
      <c r="I284" s="4" t="n">
        <v>45.75</v>
      </c>
      <c r="J284" s="0" t="n">
        <v>32</v>
      </c>
      <c r="K284" s="3" t="s">
        <v>44</v>
      </c>
      <c r="L284" s="3" t="n">
        <f aca="false">IF(D284="","",IF(D284-C284&lt;0,"",D284-C284))</f>
        <v>7</v>
      </c>
      <c r="M284" s="4" t="n">
        <f aca="false">G284*I284</f>
        <v>12306.75</v>
      </c>
      <c r="N284" s="5" t="n">
        <f aca="false">IF(J284="","",J284/G284*100)</f>
        <v>11.8959107806691</v>
      </c>
      <c r="O284" s="5" t="n">
        <f aca="false">(H284-I284)/H284*100</f>
        <v>8.90083632019116</v>
      </c>
      <c r="P284" s="3" t="n">
        <f aca="false">IF(OR(F284="Delivered",F284="Partially Delivered"),1,0)</f>
        <v>1</v>
      </c>
      <c r="Q284" s="3" t="n">
        <f aca="false">IF(F284="Cancelled",1,0)</f>
        <v>0</v>
      </c>
      <c r="R284" s="3" t="n">
        <f aca="false">IF(K284="Yes",1,0)</f>
        <v>0</v>
      </c>
    </row>
    <row r="285" customFormat="false" ht="15" hidden="false" customHeight="false" outlineLevel="0" collapsed="false">
      <c r="A285" s="0" t="s">
        <v>694</v>
      </c>
      <c r="B285" s="0" t="s">
        <v>36</v>
      </c>
      <c r="C285" s="2" t="s">
        <v>695</v>
      </c>
      <c r="D285" s="2" t="s">
        <v>78</v>
      </c>
      <c r="E285" s="3" t="s">
        <v>71</v>
      </c>
      <c r="F285" s="3" t="s">
        <v>62</v>
      </c>
      <c r="G285" s="0" t="n">
        <v>1639</v>
      </c>
      <c r="H285" s="4" t="n">
        <v>56.24</v>
      </c>
      <c r="I285" s="4" t="n">
        <v>55.4</v>
      </c>
      <c r="J285" s="0" t="n">
        <v>147</v>
      </c>
      <c r="K285" s="3" t="s">
        <v>24</v>
      </c>
      <c r="L285" s="3" t="n">
        <f aca="false">IF(D285="","",IF(D285-C285&lt;0,"",D285-C285))</f>
        <v>18</v>
      </c>
      <c r="M285" s="4" t="n">
        <f aca="false">G285*I285</f>
        <v>90800.6</v>
      </c>
      <c r="N285" s="5" t="n">
        <f aca="false">IF(J285="","",J285/G285*100)</f>
        <v>8.96888346552776</v>
      </c>
      <c r="O285" s="5" t="n">
        <f aca="false">(H285-I285)/H285*100</f>
        <v>1.49359886201992</v>
      </c>
      <c r="P285" s="3" t="n">
        <f aca="false">IF(OR(F285="Delivered",F285="Partially Delivered"),1,0)</f>
        <v>0</v>
      </c>
      <c r="Q285" s="3" t="n">
        <f aca="false">IF(F285="Cancelled",1,0)</f>
        <v>0</v>
      </c>
      <c r="R285" s="3" t="n">
        <f aca="false">IF(K285="Yes",1,0)</f>
        <v>1</v>
      </c>
    </row>
    <row r="286" customFormat="false" ht="15" hidden="false" customHeight="false" outlineLevel="0" collapsed="false">
      <c r="A286" s="0" t="s">
        <v>696</v>
      </c>
      <c r="B286" s="0" t="s">
        <v>19</v>
      </c>
      <c r="C286" s="2" t="s">
        <v>697</v>
      </c>
      <c r="D286" s="2" t="s">
        <v>698</v>
      </c>
      <c r="E286" s="3" t="s">
        <v>43</v>
      </c>
      <c r="F286" s="3" t="s">
        <v>29</v>
      </c>
      <c r="G286" s="0" t="n">
        <v>904</v>
      </c>
      <c r="H286" s="4" t="n">
        <v>34.04</v>
      </c>
      <c r="I286" s="4" t="n">
        <v>30.06</v>
      </c>
      <c r="J286" s="0" t="n">
        <v>26</v>
      </c>
      <c r="K286" s="3" t="s">
        <v>24</v>
      </c>
      <c r="L286" s="3" t="n">
        <f aca="false">IF(D286="","",IF(D286-C286&lt;0,"",D286-C286))</f>
        <v>7</v>
      </c>
      <c r="M286" s="4" t="n">
        <f aca="false">G286*I286</f>
        <v>27174.24</v>
      </c>
      <c r="N286" s="5" t="n">
        <f aca="false">IF(J286="","",J286/G286*100)</f>
        <v>2.87610619469027</v>
      </c>
      <c r="O286" s="5" t="n">
        <f aca="false">(H286-I286)/H286*100</f>
        <v>11.6921269095182</v>
      </c>
      <c r="P286" s="3" t="n">
        <f aca="false">IF(OR(F286="Delivered",F286="Partially Delivered"),1,0)</f>
        <v>1</v>
      </c>
      <c r="Q286" s="3" t="n">
        <f aca="false">IF(F286="Cancelled",1,0)</f>
        <v>0</v>
      </c>
      <c r="R286" s="3" t="n">
        <f aca="false">IF(K286="Yes",1,0)</f>
        <v>1</v>
      </c>
    </row>
    <row r="287" customFormat="false" ht="15" hidden="false" customHeight="false" outlineLevel="0" collapsed="false">
      <c r="A287" s="0" t="s">
        <v>699</v>
      </c>
      <c r="B287" s="0" t="s">
        <v>36</v>
      </c>
      <c r="C287" s="2" t="s">
        <v>473</v>
      </c>
      <c r="D287" s="2" t="s">
        <v>700</v>
      </c>
      <c r="E287" s="3" t="s">
        <v>22</v>
      </c>
      <c r="F287" s="3" t="s">
        <v>29</v>
      </c>
      <c r="G287" s="0" t="n">
        <v>1809</v>
      </c>
      <c r="H287" s="4" t="n">
        <v>22.17</v>
      </c>
      <c r="I287" s="4" t="n">
        <v>19.65</v>
      </c>
      <c r="K287" s="3" t="s">
        <v>24</v>
      </c>
      <c r="L287" s="3" t="n">
        <f aca="false">IF(D287="","",IF(D287-C287&lt;0,"",D287-C287))</f>
        <v>8</v>
      </c>
      <c r="M287" s="4" t="n">
        <f aca="false">G287*I287</f>
        <v>35546.85</v>
      </c>
      <c r="N287" s="5" t="str">
        <f aca="false">IF(J287="","",J287/G287*100)</f>
        <v/>
      </c>
      <c r="O287" s="5" t="n">
        <f aca="false">(H287-I287)/H287*100</f>
        <v>11.3667117726658</v>
      </c>
      <c r="P287" s="3" t="n">
        <f aca="false">IF(OR(F287="Delivered",F287="Partially Delivered"),1,0)</f>
        <v>1</v>
      </c>
      <c r="Q287" s="3" t="n">
        <f aca="false">IF(F287="Cancelled",1,0)</f>
        <v>0</v>
      </c>
      <c r="R287" s="3" t="n">
        <f aca="false">IF(K287="Yes",1,0)</f>
        <v>1</v>
      </c>
    </row>
    <row r="288" customFormat="false" ht="15" hidden="false" customHeight="false" outlineLevel="0" collapsed="false">
      <c r="A288" s="0" t="s">
        <v>701</v>
      </c>
      <c r="B288" s="0" t="s">
        <v>19</v>
      </c>
      <c r="C288" s="2" t="s">
        <v>219</v>
      </c>
      <c r="D288" s="2" t="s">
        <v>702</v>
      </c>
      <c r="E288" s="3" t="s">
        <v>39</v>
      </c>
      <c r="F288" s="3" t="s">
        <v>29</v>
      </c>
      <c r="G288" s="0" t="n">
        <v>1298</v>
      </c>
      <c r="H288" s="4" t="n">
        <v>65.93</v>
      </c>
      <c r="I288" s="4" t="n">
        <v>58.95</v>
      </c>
      <c r="K288" s="3" t="s">
        <v>24</v>
      </c>
      <c r="L288" s="3" t="n">
        <f aca="false">IF(D288="","",IF(D288-C288&lt;0,"",D288-C288))</f>
        <v>5</v>
      </c>
      <c r="M288" s="4" t="n">
        <f aca="false">G288*I288</f>
        <v>76517.1</v>
      </c>
      <c r="N288" s="5" t="str">
        <f aca="false">IF(J288="","",J288/G288*100)</f>
        <v/>
      </c>
      <c r="O288" s="5" t="n">
        <f aca="false">(H288-I288)/H288*100</f>
        <v>10.5869861974822</v>
      </c>
      <c r="P288" s="3" t="n">
        <f aca="false">IF(OR(F288="Delivered",F288="Partially Delivered"),1,0)</f>
        <v>1</v>
      </c>
      <c r="Q288" s="3" t="n">
        <f aca="false">IF(F288="Cancelled",1,0)</f>
        <v>0</v>
      </c>
      <c r="R288" s="3" t="n">
        <f aca="false">IF(K288="Yes",1,0)</f>
        <v>1</v>
      </c>
    </row>
    <row r="289" customFormat="false" ht="15" hidden="false" customHeight="false" outlineLevel="0" collapsed="false">
      <c r="A289" s="0" t="s">
        <v>703</v>
      </c>
      <c r="B289" s="0" t="s">
        <v>36</v>
      </c>
      <c r="C289" s="2" t="s">
        <v>704</v>
      </c>
      <c r="D289" s="2" t="s">
        <v>204</v>
      </c>
      <c r="E289" s="3" t="s">
        <v>39</v>
      </c>
      <c r="F289" s="3" t="s">
        <v>29</v>
      </c>
      <c r="G289" s="0" t="n">
        <v>434</v>
      </c>
      <c r="H289" s="4" t="n">
        <v>36.16</v>
      </c>
      <c r="I289" s="4" t="n">
        <v>34.79</v>
      </c>
      <c r="J289" s="0" t="n">
        <v>41</v>
      </c>
      <c r="K289" s="3" t="s">
        <v>24</v>
      </c>
      <c r="L289" s="3" t="n">
        <f aca="false">IF(D289="","",IF(D289-C289&lt;0,"",D289-C289))</f>
        <v>20</v>
      </c>
      <c r="M289" s="4" t="n">
        <f aca="false">G289*I289</f>
        <v>15098.86</v>
      </c>
      <c r="N289" s="5" t="n">
        <f aca="false">IF(J289="","",J289/G289*100)</f>
        <v>9.44700460829493</v>
      </c>
      <c r="O289" s="5" t="n">
        <f aca="false">(H289-I289)/H289*100</f>
        <v>3.78871681415929</v>
      </c>
      <c r="P289" s="3" t="n">
        <f aca="false">IF(OR(F289="Delivered",F289="Partially Delivered"),1,0)</f>
        <v>1</v>
      </c>
      <c r="Q289" s="3" t="n">
        <f aca="false">IF(F289="Cancelled",1,0)</f>
        <v>0</v>
      </c>
      <c r="R289" s="3" t="n">
        <f aca="false">IF(K289="Yes",1,0)</f>
        <v>1</v>
      </c>
    </row>
    <row r="290" customFormat="false" ht="15" hidden="false" customHeight="false" outlineLevel="0" collapsed="false">
      <c r="A290" s="0" t="s">
        <v>705</v>
      </c>
      <c r="B290" s="0" t="s">
        <v>46</v>
      </c>
      <c r="C290" s="2" t="s">
        <v>706</v>
      </c>
      <c r="D290" s="2" t="s">
        <v>707</v>
      </c>
      <c r="E290" s="3" t="s">
        <v>71</v>
      </c>
      <c r="F290" s="3" t="s">
        <v>29</v>
      </c>
      <c r="G290" s="0" t="n">
        <v>1476</v>
      </c>
      <c r="H290" s="4" t="n">
        <v>68.85</v>
      </c>
      <c r="I290" s="4" t="n">
        <v>65.28</v>
      </c>
      <c r="J290" s="0" t="n">
        <v>43</v>
      </c>
      <c r="K290" s="3" t="s">
        <v>24</v>
      </c>
      <c r="L290" s="3" t="n">
        <f aca="false">IF(D290="","",IF(D290-C290&lt;0,"",D290-C290))</f>
        <v>5</v>
      </c>
      <c r="M290" s="4" t="n">
        <f aca="false">G290*I290</f>
        <v>96353.28</v>
      </c>
      <c r="N290" s="5" t="n">
        <f aca="false">IF(J290="","",J290/G290*100)</f>
        <v>2.91327913279133</v>
      </c>
      <c r="O290" s="5" t="n">
        <f aca="false">(H290-I290)/H290*100</f>
        <v>5.18518518518518</v>
      </c>
      <c r="P290" s="3" t="n">
        <f aca="false">IF(OR(F290="Delivered",F290="Partially Delivered"),1,0)</f>
        <v>1</v>
      </c>
      <c r="Q290" s="3" t="n">
        <f aca="false">IF(F290="Cancelled",1,0)</f>
        <v>0</v>
      </c>
      <c r="R290" s="3" t="n">
        <f aca="false">IF(K290="Yes",1,0)</f>
        <v>1</v>
      </c>
    </row>
    <row r="291" customFormat="false" ht="15" hidden="false" customHeight="false" outlineLevel="0" collapsed="false">
      <c r="A291" s="0" t="s">
        <v>708</v>
      </c>
      <c r="B291" s="0" t="s">
        <v>26</v>
      </c>
      <c r="C291" s="2" t="s">
        <v>682</v>
      </c>
      <c r="D291" s="2"/>
      <c r="E291" s="3" t="s">
        <v>43</v>
      </c>
      <c r="F291" s="3" t="s">
        <v>58</v>
      </c>
      <c r="G291" s="0" t="n">
        <v>1711</v>
      </c>
      <c r="H291" s="4" t="n">
        <v>26.04</v>
      </c>
      <c r="I291" s="4" t="n">
        <v>24.81</v>
      </c>
      <c r="J291" s="0" t="n">
        <v>290</v>
      </c>
      <c r="K291" s="3" t="s">
        <v>24</v>
      </c>
      <c r="L291" s="0" t="str">
        <f aca="false">IF(D291="","",IF(D291-C291&lt;0,"",D291-C291))</f>
        <v/>
      </c>
      <c r="M291" s="4" t="n">
        <f aca="false">G291*I291</f>
        <v>42449.91</v>
      </c>
      <c r="N291" s="5" t="n">
        <f aca="false">IF(J291="","",J291/G291*100)</f>
        <v>16.9491525423729</v>
      </c>
      <c r="O291" s="5" t="n">
        <f aca="false">(H291-I291)/H291*100</f>
        <v>4.72350230414747</v>
      </c>
      <c r="P291" s="3" t="n">
        <f aca="false">IF(OR(F291="Delivered",F291="Partially Delivered"),1,0)</f>
        <v>1</v>
      </c>
      <c r="Q291" s="3" t="n">
        <f aca="false">IF(F291="Cancelled",1,0)</f>
        <v>0</v>
      </c>
      <c r="R291" s="3" t="n">
        <f aca="false">IF(K291="Yes",1,0)</f>
        <v>1</v>
      </c>
    </row>
    <row r="292" customFormat="false" ht="15" hidden="false" customHeight="false" outlineLevel="0" collapsed="false">
      <c r="A292" s="0" t="s">
        <v>709</v>
      </c>
      <c r="B292" s="0" t="s">
        <v>31</v>
      </c>
      <c r="C292" s="2" t="s">
        <v>710</v>
      </c>
      <c r="D292" s="2" t="s">
        <v>578</v>
      </c>
      <c r="E292" s="3" t="s">
        <v>39</v>
      </c>
      <c r="F292" s="3" t="s">
        <v>29</v>
      </c>
      <c r="G292" s="0" t="n">
        <v>1203</v>
      </c>
      <c r="H292" s="4" t="n">
        <v>53.3</v>
      </c>
      <c r="I292" s="4" t="n">
        <v>47.68</v>
      </c>
      <c r="J292" s="0" t="n">
        <v>49</v>
      </c>
      <c r="K292" s="3" t="s">
        <v>24</v>
      </c>
      <c r="L292" s="3" t="n">
        <f aca="false">IF(D292="","",IF(D292-C292&lt;0,"",D292-C292))</f>
        <v>6</v>
      </c>
      <c r="M292" s="4" t="n">
        <f aca="false">G292*I292</f>
        <v>57359.04</v>
      </c>
      <c r="N292" s="5" t="n">
        <f aca="false">IF(J292="","",J292/G292*100)</f>
        <v>4.07315045719036</v>
      </c>
      <c r="O292" s="5" t="n">
        <f aca="false">(H292-I292)/H292*100</f>
        <v>10.5440900562852</v>
      </c>
      <c r="P292" s="3" t="n">
        <f aca="false">IF(OR(F292="Delivered",F292="Partially Delivered"),1,0)</f>
        <v>1</v>
      </c>
      <c r="Q292" s="3" t="n">
        <f aca="false">IF(F292="Cancelled",1,0)</f>
        <v>0</v>
      </c>
      <c r="R292" s="3" t="n">
        <f aca="false">IF(K292="Yes",1,0)</f>
        <v>1</v>
      </c>
    </row>
    <row r="293" customFormat="false" ht="15" hidden="false" customHeight="false" outlineLevel="0" collapsed="false">
      <c r="A293" s="0" t="s">
        <v>711</v>
      </c>
      <c r="B293" s="0" t="s">
        <v>19</v>
      </c>
      <c r="C293" s="2" t="s">
        <v>78</v>
      </c>
      <c r="D293" s="2" t="s">
        <v>641</v>
      </c>
      <c r="E293" s="3" t="s">
        <v>71</v>
      </c>
      <c r="F293" s="3" t="s">
        <v>29</v>
      </c>
      <c r="G293" s="0" t="n">
        <v>1126</v>
      </c>
      <c r="H293" s="4" t="n">
        <v>58.8</v>
      </c>
      <c r="I293" s="4" t="n">
        <v>52.22</v>
      </c>
      <c r="K293" s="3" t="s">
        <v>24</v>
      </c>
      <c r="L293" s="3" t="n">
        <f aca="false">IF(D293="","",IF(D293-C293&lt;0,"",D293-C293))</f>
        <v>1</v>
      </c>
      <c r="M293" s="4" t="n">
        <f aca="false">G293*I293</f>
        <v>58799.72</v>
      </c>
      <c r="N293" s="5" t="str">
        <f aca="false">IF(J293="","",J293/G293*100)</f>
        <v/>
      </c>
      <c r="O293" s="5" t="n">
        <f aca="false">(H293-I293)/H293*100</f>
        <v>11.1904761904762</v>
      </c>
      <c r="P293" s="3" t="n">
        <f aca="false">IF(OR(F293="Delivered",F293="Partially Delivered"),1,0)</f>
        <v>1</v>
      </c>
      <c r="Q293" s="3" t="n">
        <f aca="false">IF(F293="Cancelled",1,0)</f>
        <v>0</v>
      </c>
      <c r="R293" s="3" t="n">
        <f aca="false">IF(K293="Yes",1,0)</f>
        <v>1</v>
      </c>
    </row>
    <row r="294" customFormat="false" ht="15" hidden="false" customHeight="false" outlineLevel="0" collapsed="false">
      <c r="A294" s="0" t="s">
        <v>712</v>
      </c>
      <c r="B294" s="0" t="s">
        <v>46</v>
      </c>
      <c r="C294" s="2" t="s">
        <v>82</v>
      </c>
      <c r="D294" s="2" t="s">
        <v>678</v>
      </c>
      <c r="E294" s="3" t="s">
        <v>39</v>
      </c>
      <c r="F294" s="3" t="s">
        <v>29</v>
      </c>
      <c r="G294" s="0" t="n">
        <v>1757</v>
      </c>
      <c r="H294" s="4" t="n">
        <v>15.18</v>
      </c>
      <c r="I294" s="4" t="n">
        <v>13.06</v>
      </c>
      <c r="J294" s="0" t="n">
        <v>63</v>
      </c>
      <c r="K294" s="3" t="s">
        <v>24</v>
      </c>
      <c r="L294" s="3" t="n">
        <f aca="false">IF(D294="","",IF(D294-C294&lt;0,"",D294-C294))</f>
        <v>12</v>
      </c>
      <c r="M294" s="4" t="n">
        <f aca="false">G294*I294</f>
        <v>22946.42</v>
      </c>
      <c r="N294" s="5" t="n">
        <f aca="false">IF(J294="","",J294/G294*100)</f>
        <v>3.58565737051793</v>
      </c>
      <c r="O294" s="5" t="n">
        <f aca="false">(H294-I294)/H294*100</f>
        <v>13.965744400527</v>
      </c>
      <c r="P294" s="3" t="n">
        <f aca="false">IF(OR(F294="Delivered",F294="Partially Delivered"),1,0)</f>
        <v>1</v>
      </c>
      <c r="Q294" s="3" t="n">
        <f aca="false">IF(F294="Cancelled",1,0)</f>
        <v>0</v>
      </c>
      <c r="R294" s="3" t="n">
        <f aca="false">IF(K294="Yes",1,0)</f>
        <v>1</v>
      </c>
    </row>
    <row r="295" customFormat="false" ht="15" hidden="false" customHeight="false" outlineLevel="0" collapsed="false">
      <c r="A295" s="0" t="s">
        <v>713</v>
      </c>
      <c r="B295" s="0" t="s">
        <v>46</v>
      </c>
      <c r="C295" s="2" t="s">
        <v>530</v>
      </c>
      <c r="D295" s="2" t="s">
        <v>470</v>
      </c>
      <c r="E295" s="3" t="s">
        <v>34</v>
      </c>
      <c r="F295" s="3" t="s">
        <v>29</v>
      </c>
      <c r="G295" s="0" t="n">
        <v>779</v>
      </c>
      <c r="H295" s="4" t="n">
        <v>41.3</v>
      </c>
      <c r="I295" s="4" t="n">
        <v>36.28</v>
      </c>
      <c r="J295" s="0" t="n">
        <v>20</v>
      </c>
      <c r="K295" s="3" t="s">
        <v>24</v>
      </c>
      <c r="L295" s="3" t="n">
        <f aca="false">IF(D295="","",IF(D295-C295&lt;0,"",D295-C295))</f>
        <v>8</v>
      </c>
      <c r="M295" s="4" t="n">
        <f aca="false">G295*I295</f>
        <v>28262.12</v>
      </c>
      <c r="N295" s="5" t="n">
        <f aca="false">IF(J295="","",J295/G295*100)</f>
        <v>2.56739409499358</v>
      </c>
      <c r="O295" s="5" t="n">
        <f aca="false">(H295-I295)/H295*100</f>
        <v>12.1549636803874</v>
      </c>
      <c r="P295" s="3" t="n">
        <f aca="false">IF(OR(F295="Delivered",F295="Partially Delivered"),1,0)</f>
        <v>1</v>
      </c>
      <c r="Q295" s="3" t="n">
        <f aca="false">IF(F295="Cancelled",1,0)</f>
        <v>0</v>
      </c>
      <c r="R295" s="3" t="n">
        <f aca="false">IF(K295="Yes",1,0)</f>
        <v>1</v>
      </c>
    </row>
    <row r="296" customFormat="false" ht="15" hidden="false" customHeight="false" outlineLevel="0" collapsed="false">
      <c r="A296" s="0" t="s">
        <v>714</v>
      </c>
      <c r="B296" s="0" t="s">
        <v>26</v>
      </c>
      <c r="C296" s="2" t="s">
        <v>635</v>
      </c>
      <c r="D296" s="2" t="s">
        <v>715</v>
      </c>
      <c r="E296" s="3" t="s">
        <v>22</v>
      </c>
      <c r="F296" s="3" t="s">
        <v>29</v>
      </c>
      <c r="G296" s="0" t="n">
        <v>1745</v>
      </c>
      <c r="H296" s="4" t="n">
        <v>23.53</v>
      </c>
      <c r="I296" s="4" t="n">
        <v>22.57</v>
      </c>
      <c r="J296" s="0" t="n">
        <v>282</v>
      </c>
      <c r="K296" s="3" t="s">
        <v>44</v>
      </c>
      <c r="L296" s="3" t="n">
        <f aca="false">IF(D296="","",IF(D296-C296&lt;0,"",D296-C296))</f>
        <v>1</v>
      </c>
      <c r="M296" s="4" t="n">
        <f aca="false">G296*I296</f>
        <v>39384.65</v>
      </c>
      <c r="N296" s="5" t="n">
        <f aca="false">IF(J296="","",J296/G296*100)</f>
        <v>16.1604584527221</v>
      </c>
      <c r="O296" s="5" t="n">
        <f aca="false">(H296-I296)/H296*100</f>
        <v>4.07989800254994</v>
      </c>
      <c r="P296" s="3" t="n">
        <f aca="false">IF(OR(F296="Delivered",F296="Partially Delivered"),1,0)</f>
        <v>1</v>
      </c>
      <c r="Q296" s="3" t="n">
        <f aca="false">IF(F296="Cancelled",1,0)</f>
        <v>0</v>
      </c>
      <c r="R296" s="3" t="n">
        <f aca="false">IF(K296="Yes",1,0)</f>
        <v>0</v>
      </c>
    </row>
    <row r="297" customFormat="false" ht="15" hidden="false" customHeight="false" outlineLevel="0" collapsed="false">
      <c r="A297" s="0" t="s">
        <v>716</v>
      </c>
      <c r="B297" s="0" t="s">
        <v>26</v>
      </c>
      <c r="C297" s="2" t="s">
        <v>510</v>
      </c>
      <c r="D297" s="2" t="s">
        <v>717</v>
      </c>
      <c r="E297" s="3" t="s">
        <v>43</v>
      </c>
      <c r="F297" s="3" t="s">
        <v>29</v>
      </c>
      <c r="G297" s="0" t="n">
        <v>1783</v>
      </c>
      <c r="H297" s="4" t="n">
        <v>16.96</v>
      </c>
      <c r="I297" s="4" t="n">
        <v>15.8</v>
      </c>
      <c r="J297" s="0" t="n">
        <v>295</v>
      </c>
      <c r="K297" s="3" t="s">
        <v>24</v>
      </c>
      <c r="L297" s="3" t="n">
        <f aca="false">IF(D297="","",IF(D297-C297&lt;0,"",D297-C297))</f>
        <v>2</v>
      </c>
      <c r="M297" s="4" t="n">
        <f aca="false">G297*I297</f>
        <v>28171.4</v>
      </c>
      <c r="N297" s="5" t="n">
        <f aca="false">IF(J297="","",J297/G297*100)</f>
        <v>16.5451486259114</v>
      </c>
      <c r="O297" s="5" t="n">
        <f aca="false">(H297-I297)/H297*100</f>
        <v>6.83962264150943</v>
      </c>
      <c r="P297" s="3" t="n">
        <f aca="false">IF(OR(F297="Delivered",F297="Partially Delivered"),1,0)</f>
        <v>1</v>
      </c>
      <c r="Q297" s="3" t="n">
        <f aca="false">IF(F297="Cancelled",1,0)</f>
        <v>0</v>
      </c>
      <c r="R297" s="3" t="n">
        <f aca="false">IF(K297="Yes",1,0)</f>
        <v>1</v>
      </c>
    </row>
    <row r="298" customFormat="false" ht="15" hidden="false" customHeight="false" outlineLevel="0" collapsed="false">
      <c r="A298" s="0" t="s">
        <v>718</v>
      </c>
      <c r="B298" s="0" t="s">
        <v>19</v>
      </c>
      <c r="C298" s="2" t="s">
        <v>719</v>
      </c>
      <c r="D298" s="2" t="s">
        <v>720</v>
      </c>
      <c r="E298" s="3" t="s">
        <v>22</v>
      </c>
      <c r="F298" s="3" t="s">
        <v>58</v>
      </c>
      <c r="G298" s="0" t="n">
        <v>1489</v>
      </c>
      <c r="H298" s="4" t="n">
        <v>107.02</v>
      </c>
      <c r="I298" s="4" t="n">
        <v>93.3</v>
      </c>
      <c r="K298" s="3" t="s">
        <v>24</v>
      </c>
      <c r="L298" s="3" t="n">
        <f aca="false">IF(D298="","",IF(D298-C298&lt;0,"",D298-C298))</f>
        <v>14</v>
      </c>
      <c r="M298" s="4" t="n">
        <f aca="false">G298*I298</f>
        <v>138923.7</v>
      </c>
      <c r="N298" s="5" t="str">
        <f aca="false">IF(J298="","",J298/G298*100)</f>
        <v/>
      </c>
      <c r="O298" s="5" t="n">
        <f aca="false">(H298-I298)/H298*100</f>
        <v>12.8200336385722</v>
      </c>
      <c r="P298" s="3" t="n">
        <f aca="false">IF(OR(F298="Delivered",F298="Partially Delivered"),1,0)</f>
        <v>1</v>
      </c>
      <c r="Q298" s="3" t="n">
        <f aca="false">IF(F298="Cancelled",1,0)</f>
        <v>0</v>
      </c>
      <c r="R298" s="3" t="n">
        <f aca="false">IF(K298="Yes",1,0)</f>
        <v>1</v>
      </c>
    </row>
    <row r="299" customFormat="false" ht="15" hidden="false" customHeight="false" outlineLevel="0" collapsed="false">
      <c r="A299" s="0" t="s">
        <v>721</v>
      </c>
      <c r="B299" s="0" t="s">
        <v>19</v>
      </c>
      <c r="C299" s="2" t="s">
        <v>722</v>
      </c>
      <c r="D299" s="2" t="s">
        <v>723</v>
      </c>
      <c r="E299" s="3" t="s">
        <v>22</v>
      </c>
      <c r="F299" s="3" t="s">
        <v>29</v>
      </c>
      <c r="G299" s="0" t="n">
        <v>296</v>
      </c>
      <c r="H299" s="4" t="n">
        <v>40.38</v>
      </c>
      <c r="I299" s="4" t="n">
        <v>35.25</v>
      </c>
      <c r="K299" s="3" t="s">
        <v>24</v>
      </c>
      <c r="L299" s="3" t="n">
        <f aca="false">IF(D299="","",IF(D299-C299&lt;0,"",D299-C299))</f>
        <v>3</v>
      </c>
      <c r="M299" s="4" t="n">
        <f aca="false">G299*I299</f>
        <v>10434</v>
      </c>
      <c r="N299" s="5" t="str">
        <f aca="false">IF(J299="","",J299/G299*100)</f>
        <v/>
      </c>
      <c r="O299" s="5" t="n">
        <f aca="false">(H299-I299)/H299*100</f>
        <v>12.704309063893</v>
      </c>
      <c r="P299" s="3" t="n">
        <f aca="false">IF(OR(F299="Delivered",F299="Partially Delivered"),1,0)</f>
        <v>1</v>
      </c>
      <c r="Q299" s="3" t="n">
        <f aca="false">IF(F299="Cancelled",1,0)</f>
        <v>0</v>
      </c>
      <c r="R299" s="3" t="n">
        <f aca="false">IF(K299="Yes",1,0)</f>
        <v>1</v>
      </c>
    </row>
    <row r="300" customFormat="false" ht="15" hidden="false" customHeight="false" outlineLevel="0" collapsed="false">
      <c r="A300" s="0" t="s">
        <v>724</v>
      </c>
      <c r="B300" s="0" t="s">
        <v>46</v>
      </c>
      <c r="C300" s="2" t="s">
        <v>304</v>
      </c>
      <c r="D300" s="2" t="s">
        <v>725</v>
      </c>
      <c r="E300" s="3" t="s">
        <v>34</v>
      </c>
      <c r="F300" s="3" t="s">
        <v>29</v>
      </c>
      <c r="G300" s="0" t="n">
        <v>885</v>
      </c>
      <c r="H300" s="4" t="n">
        <v>88.28</v>
      </c>
      <c r="I300" s="4" t="n">
        <v>80.8</v>
      </c>
      <c r="J300" s="0" t="n">
        <v>31</v>
      </c>
      <c r="K300" s="3" t="s">
        <v>24</v>
      </c>
      <c r="L300" s="3" t="n">
        <f aca="false">IF(D300="","",IF(D300-C300&lt;0,"",D300-C300))</f>
        <v>12</v>
      </c>
      <c r="M300" s="4" t="n">
        <f aca="false">G300*I300</f>
        <v>71508</v>
      </c>
      <c r="N300" s="5" t="n">
        <f aca="false">IF(J300="","",J300/G300*100)</f>
        <v>3.50282485875706</v>
      </c>
      <c r="O300" s="5" t="n">
        <f aca="false">(H300-I300)/H300*100</f>
        <v>8.47304032623471</v>
      </c>
      <c r="P300" s="3" t="n">
        <f aca="false">IF(OR(F300="Delivered",F300="Partially Delivered"),1,0)</f>
        <v>1</v>
      </c>
      <c r="Q300" s="3" t="n">
        <f aca="false">IF(F300="Cancelled",1,0)</f>
        <v>0</v>
      </c>
      <c r="R300" s="3" t="n">
        <f aca="false">IF(K300="Yes",1,0)</f>
        <v>1</v>
      </c>
    </row>
    <row r="301" customFormat="false" ht="15" hidden="false" customHeight="false" outlineLevel="0" collapsed="false">
      <c r="A301" s="0" t="s">
        <v>726</v>
      </c>
      <c r="B301" s="0" t="s">
        <v>46</v>
      </c>
      <c r="C301" s="2" t="s">
        <v>600</v>
      </c>
      <c r="D301" s="2" t="s">
        <v>727</v>
      </c>
      <c r="E301" s="3" t="s">
        <v>43</v>
      </c>
      <c r="F301" s="3" t="s">
        <v>62</v>
      </c>
      <c r="G301" s="0" t="n">
        <v>1512</v>
      </c>
      <c r="H301" s="4" t="n">
        <v>33.25</v>
      </c>
      <c r="I301" s="4" t="n">
        <v>30.15</v>
      </c>
      <c r="J301" s="0" t="n">
        <v>53</v>
      </c>
      <c r="K301" s="3" t="s">
        <v>24</v>
      </c>
      <c r="L301" s="3" t="n">
        <f aca="false">IF(D301="","",IF(D301-C301&lt;0,"",D301-C301))</f>
        <v>4</v>
      </c>
      <c r="M301" s="4" t="n">
        <f aca="false">G301*I301</f>
        <v>45586.8</v>
      </c>
      <c r="N301" s="5" t="n">
        <f aca="false">IF(J301="","",J301/G301*100)</f>
        <v>3.50529100529101</v>
      </c>
      <c r="O301" s="5" t="n">
        <f aca="false">(H301-I301)/H301*100</f>
        <v>9.3233082706767</v>
      </c>
      <c r="P301" s="3" t="n">
        <f aca="false">IF(OR(F301="Delivered",F301="Partially Delivered"),1,0)</f>
        <v>0</v>
      </c>
      <c r="Q301" s="3" t="n">
        <f aca="false">IF(F301="Cancelled",1,0)</f>
        <v>0</v>
      </c>
      <c r="R301" s="3" t="n">
        <f aca="false">IF(K301="Yes",1,0)</f>
        <v>1</v>
      </c>
    </row>
    <row r="302" customFormat="false" ht="15" hidden="false" customHeight="false" outlineLevel="0" collapsed="false">
      <c r="A302" s="0" t="s">
        <v>728</v>
      </c>
      <c r="B302" s="0" t="s">
        <v>26</v>
      </c>
      <c r="C302" s="2" t="s">
        <v>729</v>
      </c>
      <c r="D302" s="2" t="s">
        <v>380</v>
      </c>
      <c r="E302" s="3" t="s">
        <v>22</v>
      </c>
      <c r="F302" s="3" t="s">
        <v>29</v>
      </c>
      <c r="G302" s="0" t="n">
        <v>252</v>
      </c>
      <c r="H302" s="4" t="n">
        <v>73.12</v>
      </c>
      <c r="I302" s="4" t="n">
        <v>67.64</v>
      </c>
      <c r="K302" s="3" t="s">
        <v>44</v>
      </c>
      <c r="L302" s="3" t="n">
        <f aca="false">IF(D302="","",IF(D302-C302&lt;0,"",D302-C302))</f>
        <v>8</v>
      </c>
      <c r="M302" s="4" t="n">
        <f aca="false">G302*I302</f>
        <v>17045.28</v>
      </c>
      <c r="N302" s="5" t="str">
        <f aca="false">IF(J302="","",J302/G302*100)</f>
        <v/>
      </c>
      <c r="O302" s="5" t="n">
        <f aca="false">(H302-I302)/H302*100</f>
        <v>7.49452954048141</v>
      </c>
      <c r="P302" s="3" t="n">
        <f aca="false">IF(OR(F302="Delivered",F302="Partially Delivered"),1,0)</f>
        <v>1</v>
      </c>
      <c r="Q302" s="3" t="n">
        <f aca="false">IF(F302="Cancelled",1,0)</f>
        <v>0</v>
      </c>
      <c r="R302" s="3" t="n">
        <f aca="false">IF(K302="Yes",1,0)</f>
        <v>0</v>
      </c>
    </row>
    <row r="303" customFormat="false" ht="15" hidden="false" customHeight="false" outlineLevel="0" collapsed="false">
      <c r="A303" s="0" t="s">
        <v>730</v>
      </c>
      <c r="B303" s="0" t="s">
        <v>19</v>
      </c>
      <c r="C303" s="2" t="s">
        <v>277</v>
      </c>
      <c r="D303" s="2"/>
      <c r="E303" s="3" t="s">
        <v>71</v>
      </c>
      <c r="F303" s="3" t="s">
        <v>23</v>
      </c>
      <c r="G303" s="0" t="n">
        <v>1257</v>
      </c>
      <c r="H303" s="4" t="n">
        <v>83.13</v>
      </c>
      <c r="I303" s="4" t="n">
        <v>81.89</v>
      </c>
      <c r="J303" s="0" t="n">
        <v>30</v>
      </c>
      <c r="K303" s="3" t="s">
        <v>24</v>
      </c>
      <c r="L303" s="0" t="str">
        <f aca="false">IF(D303="","",IF(D303-C303&lt;0,"",D303-C303))</f>
        <v/>
      </c>
      <c r="M303" s="4" t="n">
        <f aca="false">G303*I303</f>
        <v>102935.73</v>
      </c>
      <c r="N303" s="5" t="n">
        <f aca="false">IF(J303="","",J303/G303*100)</f>
        <v>2.38663484486874</v>
      </c>
      <c r="O303" s="5" t="n">
        <f aca="false">(H303-I303)/H303*100</f>
        <v>1.49163960062552</v>
      </c>
      <c r="P303" s="3" t="n">
        <f aca="false">IF(OR(F303="Delivered",F303="Partially Delivered"),1,0)</f>
        <v>0</v>
      </c>
      <c r="Q303" s="3" t="n">
        <f aca="false">IF(F303="Cancelled",1,0)</f>
        <v>1</v>
      </c>
      <c r="R303" s="3" t="n">
        <f aca="false">IF(K303="Yes",1,0)</f>
        <v>1</v>
      </c>
    </row>
    <row r="304" customFormat="false" ht="15" hidden="false" customHeight="false" outlineLevel="0" collapsed="false">
      <c r="A304" s="0" t="s">
        <v>731</v>
      </c>
      <c r="B304" s="0" t="s">
        <v>19</v>
      </c>
      <c r="C304" s="2" t="s">
        <v>732</v>
      </c>
      <c r="D304" s="2" t="s">
        <v>489</v>
      </c>
      <c r="E304" s="3" t="s">
        <v>39</v>
      </c>
      <c r="F304" s="3" t="s">
        <v>29</v>
      </c>
      <c r="G304" s="0" t="n">
        <v>172</v>
      </c>
      <c r="H304" s="4" t="n">
        <v>63.61</v>
      </c>
      <c r="I304" s="4" t="n">
        <v>55.92</v>
      </c>
      <c r="J304" s="0" t="n">
        <v>4</v>
      </c>
      <c r="K304" s="3" t="s">
        <v>24</v>
      </c>
      <c r="L304" s="3" t="n">
        <f aca="false">IF(D304="","",IF(D304-C304&lt;0,"",D304-C304))</f>
        <v>17</v>
      </c>
      <c r="M304" s="4" t="n">
        <f aca="false">G304*I304</f>
        <v>9618.24</v>
      </c>
      <c r="N304" s="5" t="n">
        <f aca="false">IF(J304="","",J304/G304*100)</f>
        <v>2.32558139534884</v>
      </c>
      <c r="O304" s="5" t="n">
        <f aca="false">(H304-I304)/H304*100</f>
        <v>12.0892941361421</v>
      </c>
      <c r="P304" s="3" t="n">
        <f aca="false">IF(OR(F304="Delivered",F304="Partially Delivered"),1,0)</f>
        <v>1</v>
      </c>
      <c r="Q304" s="3" t="n">
        <f aca="false">IF(F304="Cancelled",1,0)</f>
        <v>0</v>
      </c>
      <c r="R304" s="3" t="n">
        <f aca="false">IF(K304="Yes",1,0)</f>
        <v>1</v>
      </c>
    </row>
    <row r="305" customFormat="false" ht="15" hidden="false" customHeight="false" outlineLevel="0" collapsed="false">
      <c r="A305" s="0" t="s">
        <v>733</v>
      </c>
      <c r="B305" s="0" t="s">
        <v>46</v>
      </c>
      <c r="C305" s="2" t="s">
        <v>239</v>
      </c>
      <c r="D305" s="2" t="s">
        <v>734</v>
      </c>
      <c r="E305" s="3" t="s">
        <v>39</v>
      </c>
      <c r="F305" s="3" t="s">
        <v>62</v>
      </c>
      <c r="G305" s="0" t="n">
        <v>450</v>
      </c>
      <c r="H305" s="4" t="n">
        <v>55.85</v>
      </c>
      <c r="I305" s="4" t="n">
        <v>49.88</v>
      </c>
      <c r="J305" s="0" t="n">
        <v>9</v>
      </c>
      <c r="K305" s="3" t="s">
        <v>24</v>
      </c>
      <c r="L305" s="3" t="n">
        <f aca="false">IF(D305="","",IF(D305-C305&lt;0,"",D305-C305))</f>
        <v>1</v>
      </c>
      <c r="M305" s="4" t="n">
        <f aca="false">G305*I305</f>
        <v>22446</v>
      </c>
      <c r="N305" s="5" t="n">
        <f aca="false">IF(J305="","",J305/G305*100)</f>
        <v>2</v>
      </c>
      <c r="O305" s="5" t="n">
        <f aca="false">(H305-I305)/H305*100</f>
        <v>10.6893464637422</v>
      </c>
      <c r="P305" s="3" t="n">
        <f aca="false">IF(OR(F305="Delivered",F305="Partially Delivered"),1,0)</f>
        <v>0</v>
      </c>
      <c r="Q305" s="3" t="n">
        <f aca="false">IF(F305="Cancelled",1,0)</f>
        <v>0</v>
      </c>
      <c r="R305" s="3" t="n">
        <f aca="false">IF(K305="Yes",1,0)</f>
        <v>1</v>
      </c>
    </row>
    <row r="306" customFormat="false" ht="15" hidden="false" customHeight="false" outlineLevel="0" collapsed="false">
      <c r="A306" s="0" t="s">
        <v>735</v>
      </c>
      <c r="B306" s="0" t="s">
        <v>31</v>
      </c>
      <c r="C306" s="2" t="s">
        <v>336</v>
      </c>
      <c r="D306" s="2" t="s">
        <v>349</v>
      </c>
      <c r="E306" s="3" t="s">
        <v>71</v>
      </c>
      <c r="F306" s="3" t="s">
        <v>29</v>
      </c>
      <c r="G306" s="0" t="n">
        <v>816</v>
      </c>
      <c r="H306" s="4" t="n">
        <v>48.95</v>
      </c>
      <c r="I306" s="4" t="n">
        <v>43.42</v>
      </c>
      <c r="J306" s="0" t="n">
        <v>45</v>
      </c>
      <c r="K306" s="3" t="s">
        <v>24</v>
      </c>
      <c r="L306" s="3" t="n">
        <f aca="false">IF(D306="","",IF(D306-C306&lt;0,"",D306-C306))</f>
        <v>16</v>
      </c>
      <c r="M306" s="4" t="n">
        <f aca="false">G306*I306</f>
        <v>35430.72</v>
      </c>
      <c r="N306" s="5" t="n">
        <f aca="false">IF(J306="","",J306/G306*100)</f>
        <v>5.51470588235294</v>
      </c>
      <c r="O306" s="5" t="n">
        <f aca="false">(H306-I306)/H306*100</f>
        <v>11.2972420837589</v>
      </c>
      <c r="P306" s="3" t="n">
        <f aca="false">IF(OR(F306="Delivered",F306="Partially Delivered"),1,0)</f>
        <v>1</v>
      </c>
      <c r="Q306" s="3" t="n">
        <f aca="false">IF(F306="Cancelled",1,0)</f>
        <v>0</v>
      </c>
      <c r="R306" s="3" t="n">
        <f aca="false">IF(K306="Yes",1,0)</f>
        <v>1</v>
      </c>
    </row>
    <row r="307" customFormat="false" ht="15" hidden="false" customHeight="false" outlineLevel="0" collapsed="false">
      <c r="A307" s="0" t="s">
        <v>736</v>
      </c>
      <c r="B307" s="0" t="s">
        <v>46</v>
      </c>
      <c r="C307" s="2" t="s">
        <v>737</v>
      </c>
      <c r="D307" s="2" t="s">
        <v>401</v>
      </c>
      <c r="E307" s="3" t="s">
        <v>39</v>
      </c>
      <c r="F307" s="3" t="s">
        <v>29</v>
      </c>
      <c r="G307" s="0" t="n">
        <v>343</v>
      </c>
      <c r="H307" s="4" t="n">
        <v>44.5</v>
      </c>
      <c r="I307" s="4" t="n">
        <v>38.57</v>
      </c>
      <c r="J307" s="0" t="n">
        <v>7</v>
      </c>
      <c r="K307" s="3" t="s">
        <v>24</v>
      </c>
      <c r="L307" s="3" t="n">
        <f aca="false">IF(D307="","",IF(D307-C307&lt;0,"",D307-C307))</f>
        <v>14</v>
      </c>
      <c r="M307" s="4" t="n">
        <f aca="false">G307*I307</f>
        <v>13229.51</v>
      </c>
      <c r="N307" s="5" t="n">
        <f aca="false">IF(J307="","",J307/G307*100)</f>
        <v>2.04081632653061</v>
      </c>
      <c r="O307" s="5" t="n">
        <f aca="false">(H307-I307)/H307*100</f>
        <v>13.3258426966292</v>
      </c>
      <c r="P307" s="3" t="n">
        <f aca="false">IF(OR(F307="Delivered",F307="Partially Delivered"),1,0)</f>
        <v>1</v>
      </c>
      <c r="Q307" s="3" t="n">
        <f aca="false">IF(F307="Cancelled",1,0)</f>
        <v>0</v>
      </c>
      <c r="R307" s="3" t="n">
        <f aca="false">IF(K307="Yes",1,0)</f>
        <v>1</v>
      </c>
    </row>
    <row r="308" customFormat="false" ht="15" hidden="false" customHeight="false" outlineLevel="0" collapsed="false">
      <c r="A308" s="0" t="s">
        <v>738</v>
      </c>
      <c r="B308" s="0" t="s">
        <v>31</v>
      </c>
      <c r="C308" s="2" t="s">
        <v>739</v>
      </c>
      <c r="D308" s="2" t="s">
        <v>740</v>
      </c>
      <c r="E308" s="3" t="s">
        <v>34</v>
      </c>
      <c r="F308" s="3" t="s">
        <v>29</v>
      </c>
      <c r="G308" s="0" t="n">
        <v>329</v>
      </c>
      <c r="H308" s="4" t="n">
        <v>97.87</v>
      </c>
      <c r="I308" s="4" t="n">
        <v>85.35</v>
      </c>
      <c r="J308" s="0" t="n">
        <v>21</v>
      </c>
      <c r="K308" s="3" t="s">
        <v>44</v>
      </c>
      <c r="L308" s="3" t="n">
        <f aca="false">IF(D308="","",IF(D308-C308&lt;0,"",D308-C308))</f>
        <v>16</v>
      </c>
      <c r="M308" s="4" t="n">
        <f aca="false">G308*I308</f>
        <v>28080.15</v>
      </c>
      <c r="N308" s="5" t="n">
        <f aca="false">IF(J308="","",J308/G308*100)</f>
        <v>6.38297872340426</v>
      </c>
      <c r="O308" s="5" t="n">
        <f aca="false">(H308-I308)/H308*100</f>
        <v>12.7924798201696</v>
      </c>
      <c r="P308" s="3" t="n">
        <f aca="false">IF(OR(F308="Delivered",F308="Partially Delivered"),1,0)</f>
        <v>1</v>
      </c>
      <c r="Q308" s="3" t="n">
        <f aca="false">IF(F308="Cancelled",1,0)</f>
        <v>0</v>
      </c>
      <c r="R308" s="3" t="n">
        <f aca="false">IF(K308="Yes",1,0)</f>
        <v>0</v>
      </c>
    </row>
    <row r="309" customFormat="false" ht="15" hidden="false" customHeight="false" outlineLevel="0" collapsed="false">
      <c r="A309" s="0" t="s">
        <v>741</v>
      </c>
      <c r="B309" s="0" t="s">
        <v>19</v>
      </c>
      <c r="C309" s="2" t="s">
        <v>538</v>
      </c>
      <c r="D309" s="2" t="s">
        <v>557</v>
      </c>
      <c r="E309" s="3" t="s">
        <v>71</v>
      </c>
      <c r="F309" s="3" t="s">
        <v>29</v>
      </c>
      <c r="G309" s="0" t="n">
        <v>1910</v>
      </c>
      <c r="H309" s="4" t="n">
        <v>90.69</v>
      </c>
      <c r="I309" s="4" t="n">
        <v>85.8</v>
      </c>
      <c r="K309" s="3" t="s">
        <v>24</v>
      </c>
      <c r="L309" s="3" t="n">
        <f aca="false">IF(D309="","",IF(D309-C309&lt;0,"",D309-C309))</f>
        <v>15</v>
      </c>
      <c r="M309" s="4" t="n">
        <f aca="false">G309*I309</f>
        <v>163878</v>
      </c>
      <c r="N309" s="5" t="str">
        <f aca="false">IF(J309="","",J309/G309*100)</f>
        <v/>
      </c>
      <c r="O309" s="5" t="n">
        <f aca="false">(H309-I309)/H309*100</f>
        <v>5.39199470724446</v>
      </c>
      <c r="P309" s="3" t="n">
        <f aca="false">IF(OR(F309="Delivered",F309="Partially Delivered"),1,0)</f>
        <v>1</v>
      </c>
      <c r="Q309" s="3" t="n">
        <f aca="false">IF(F309="Cancelled",1,0)</f>
        <v>0</v>
      </c>
      <c r="R309" s="3" t="n">
        <f aca="false">IF(K309="Yes",1,0)</f>
        <v>1</v>
      </c>
    </row>
    <row r="310" customFormat="false" ht="15" hidden="false" customHeight="false" outlineLevel="0" collapsed="false">
      <c r="A310" s="0" t="s">
        <v>742</v>
      </c>
      <c r="B310" s="0" t="s">
        <v>46</v>
      </c>
      <c r="C310" s="2" t="s">
        <v>743</v>
      </c>
      <c r="D310" s="2" t="s">
        <v>744</v>
      </c>
      <c r="E310" s="3" t="s">
        <v>34</v>
      </c>
      <c r="F310" s="3" t="s">
        <v>29</v>
      </c>
      <c r="G310" s="0" t="n">
        <v>933</v>
      </c>
      <c r="H310" s="4" t="n">
        <v>107.99</v>
      </c>
      <c r="I310" s="4" t="n">
        <v>104.29</v>
      </c>
      <c r="J310" s="0" t="n">
        <v>29</v>
      </c>
      <c r="K310" s="3" t="s">
        <v>24</v>
      </c>
      <c r="L310" s="3" t="n">
        <f aca="false">IF(D310="","",IF(D310-C310&lt;0,"",D310-C310))</f>
        <v>3</v>
      </c>
      <c r="M310" s="4" t="n">
        <f aca="false">G310*I310</f>
        <v>97302.57</v>
      </c>
      <c r="N310" s="5" t="n">
        <f aca="false">IF(J310="","",J310/G310*100)</f>
        <v>3.10825294748124</v>
      </c>
      <c r="O310" s="5" t="n">
        <f aca="false">(H310-I310)/H310*100</f>
        <v>3.42624317066394</v>
      </c>
      <c r="P310" s="3" t="n">
        <f aca="false">IF(OR(F310="Delivered",F310="Partially Delivered"),1,0)</f>
        <v>1</v>
      </c>
      <c r="Q310" s="3" t="n">
        <f aca="false">IF(F310="Cancelled",1,0)</f>
        <v>0</v>
      </c>
      <c r="R310" s="3" t="n">
        <f aca="false">IF(K310="Yes",1,0)</f>
        <v>1</v>
      </c>
    </row>
    <row r="311" customFormat="false" ht="15" hidden="false" customHeight="false" outlineLevel="0" collapsed="false">
      <c r="A311" s="0" t="s">
        <v>745</v>
      </c>
      <c r="B311" s="0" t="s">
        <v>26</v>
      </c>
      <c r="C311" s="2" t="s">
        <v>108</v>
      </c>
      <c r="D311" s="2" t="s">
        <v>96</v>
      </c>
      <c r="E311" s="3" t="s">
        <v>43</v>
      </c>
      <c r="F311" s="3" t="s">
        <v>29</v>
      </c>
      <c r="G311" s="0" t="n">
        <v>1683</v>
      </c>
      <c r="H311" s="4" t="n">
        <v>23.09</v>
      </c>
      <c r="I311" s="4" t="n">
        <v>21.88</v>
      </c>
      <c r="J311" s="0" t="n">
        <v>253</v>
      </c>
      <c r="K311" s="3" t="s">
        <v>24</v>
      </c>
      <c r="L311" s="3" t="n">
        <f aca="false">IF(D311="","",IF(D311-C311&lt;0,"",D311-C311))</f>
        <v>5</v>
      </c>
      <c r="M311" s="4" t="n">
        <f aca="false">G311*I311</f>
        <v>36824.04</v>
      </c>
      <c r="N311" s="5" t="n">
        <f aca="false">IF(J311="","",J311/G311*100)</f>
        <v>15.0326797385621</v>
      </c>
      <c r="O311" s="5" t="n">
        <f aca="false">(H311-I311)/H311*100</f>
        <v>5.24036379385016</v>
      </c>
      <c r="P311" s="3" t="n">
        <f aca="false">IF(OR(F311="Delivered",F311="Partially Delivered"),1,0)</f>
        <v>1</v>
      </c>
      <c r="Q311" s="3" t="n">
        <f aca="false">IF(F311="Cancelled",1,0)</f>
        <v>0</v>
      </c>
      <c r="R311" s="3" t="n">
        <f aca="false">IF(K311="Yes",1,0)</f>
        <v>1</v>
      </c>
    </row>
    <row r="312" customFormat="false" ht="15" hidden="false" customHeight="false" outlineLevel="0" collapsed="false">
      <c r="A312" s="0" t="s">
        <v>746</v>
      </c>
      <c r="B312" s="0" t="s">
        <v>36</v>
      </c>
      <c r="C312" s="2" t="s">
        <v>210</v>
      </c>
      <c r="D312" s="2" t="s">
        <v>245</v>
      </c>
      <c r="E312" s="3" t="s">
        <v>39</v>
      </c>
      <c r="F312" s="3" t="s">
        <v>62</v>
      </c>
      <c r="G312" s="0" t="n">
        <v>247</v>
      </c>
      <c r="H312" s="4" t="n">
        <v>84.11</v>
      </c>
      <c r="I312" s="4" t="n">
        <v>71.97</v>
      </c>
      <c r="K312" s="3" t="s">
        <v>24</v>
      </c>
      <c r="L312" s="3" t="n">
        <f aca="false">IF(D312="","",IF(D312-C312&lt;0,"",D312-C312))</f>
        <v>9</v>
      </c>
      <c r="M312" s="4" t="n">
        <f aca="false">G312*I312</f>
        <v>17776.59</v>
      </c>
      <c r="N312" s="5" t="str">
        <f aca="false">IF(J312="","",J312/G312*100)</f>
        <v/>
      </c>
      <c r="O312" s="5" t="n">
        <f aca="false">(H312-I312)/H312*100</f>
        <v>14.4334799667103</v>
      </c>
      <c r="P312" s="3" t="n">
        <f aca="false">IF(OR(F312="Delivered",F312="Partially Delivered"),1,0)</f>
        <v>0</v>
      </c>
      <c r="Q312" s="3" t="n">
        <f aca="false">IF(F312="Cancelled",1,0)</f>
        <v>0</v>
      </c>
      <c r="R312" s="3" t="n">
        <f aca="false">IF(K312="Yes",1,0)</f>
        <v>1</v>
      </c>
    </row>
    <row r="313" customFormat="false" ht="15" hidden="false" customHeight="false" outlineLevel="0" collapsed="false">
      <c r="A313" s="0" t="s">
        <v>747</v>
      </c>
      <c r="B313" s="0" t="s">
        <v>19</v>
      </c>
      <c r="C313" s="2" t="s">
        <v>748</v>
      </c>
      <c r="D313" s="2" t="s">
        <v>87</v>
      </c>
      <c r="E313" s="3" t="s">
        <v>34</v>
      </c>
      <c r="F313" s="3" t="s">
        <v>29</v>
      </c>
      <c r="G313" s="0" t="n">
        <v>1031</v>
      </c>
      <c r="H313" s="4" t="n">
        <v>102.01</v>
      </c>
      <c r="I313" s="4" t="n">
        <v>98.65</v>
      </c>
      <c r="K313" s="3" t="s">
        <v>24</v>
      </c>
      <c r="L313" s="3" t="n">
        <f aca="false">IF(D313="","",IF(D313-C313&lt;0,"",D313-C313))</f>
        <v>19</v>
      </c>
      <c r="M313" s="4" t="n">
        <f aca="false">G313*I313</f>
        <v>101708.15</v>
      </c>
      <c r="N313" s="5" t="str">
        <f aca="false">IF(J313="","",J313/G313*100)</f>
        <v/>
      </c>
      <c r="O313" s="5" t="n">
        <f aca="false">(H313-I313)/H313*100</f>
        <v>3.29379472600725</v>
      </c>
      <c r="P313" s="3" t="n">
        <f aca="false">IF(OR(F313="Delivered",F313="Partially Delivered"),1,0)</f>
        <v>1</v>
      </c>
      <c r="Q313" s="3" t="n">
        <f aca="false">IF(F313="Cancelled",1,0)</f>
        <v>0</v>
      </c>
      <c r="R313" s="3" t="n">
        <f aca="false">IF(K313="Yes",1,0)</f>
        <v>1</v>
      </c>
    </row>
    <row r="314" customFormat="false" ht="15" hidden="false" customHeight="false" outlineLevel="0" collapsed="false">
      <c r="A314" s="0" t="s">
        <v>749</v>
      </c>
      <c r="B314" s="0" t="s">
        <v>19</v>
      </c>
      <c r="C314" s="2" t="s">
        <v>750</v>
      </c>
      <c r="D314" s="2" t="s">
        <v>529</v>
      </c>
      <c r="E314" s="3" t="s">
        <v>39</v>
      </c>
      <c r="F314" s="3" t="s">
        <v>29</v>
      </c>
      <c r="G314" s="0" t="n">
        <v>1980</v>
      </c>
      <c r="H314" s="4" t="n">
        <v>26.97</v>
      </c>
      <c r="I314" s="4" t="n">
        <v>24.16</v>
      </c>
      <c r="J314" s="0" t="n">
        <v>41</v>
      </c>
      <c r="K314" s="3" t="s">
        <v>24</v>
      </c>
      <c r="L314" s="3" t="n">
        <f aca="false">IF(D314="","",IF(D314-C314&lt;0,"",D314-C314))</f>
        <v>11</v>
      </c>
      <c r="M314" s="4" t="n">
        <f aca="false">G314*I314</f>
        <v>47836.8</v>
      </c>
      <c r="N314" s="5" t="n">
        <f aca="false">IF(J314="","",J314/G314*100)</f>
        <v>2.07070707070707</v>
      </c>
      <c r="O314" s="5" t="n">
        <f aca="false">(H314-I314)/H314*100</f>
        <v>10.4189840563589</v>
      </c>
      <c r="P314" s="3" t="n">
        <f aca="false">IF(OR(F314="Delivered",F314="Partially Delivered"),1,0)</f>
        <v>1</v>
      </c>
      <c r="Q314" s="3" t="n">
        <f aca="false">IF(F314="Cancelled",1,0)</f>
        <v>0</v>
      </c>
      <c r="R314" s="3" t="n">
        <f aca="false">IF(K314="Yes",1,0)</f>
        <v>1</v>
      </c>
    </row>
    <row r="315" customFormat="false" ht="15" hidden="false" customHeight="false" outlineLevel="0" collapsed="false">
      <c r="A315" s="0" t="s">
        <v>751</v>
      </c>
      <c r="B315" s="0" t="s">
        <v>46</v>
      </c>
      <c r="C315" s="2" t="s">
        <v>638</v>
      </c>
      <c r="D315" s="2" t="s">
        <v>243</v>
      </c>
      <c r="E315" s="3" t="s">
        <v>43</v>
      </c>
      <c r="F315" s="3" t="s">
        <v>29</v>
      </c>
      <c r="G315" s="0" t="n">
        <v>1584</v>
      </c>
      <c r="H315" s="4" t="n">
        <v>16.46</v>
      </c>
      <c r="I315" s="4" t="n">
        <v>14.2</v>
      </c>
      <c r="J315" s="0" t="n">
        <v>57</v>
      </c>
      <c r="K315" s="3" t="s">
        <v>24</v>
      </c>
      <c r="L315" s="3" t="n">
        <f aca="false">IF(D315="","",IF(D315-C315&lt;0,"",D315-C315))</f>
        <v>20</v>
      </c>
      <c r="M315" s="4" t="n">
        <f aca="false">G315*I315</f>
        <v>22492.8</v>
      </c>
      <c r="N315" s="5" t="n">
        <f aca="false">IF(J315="","",J315/G315*100)</f>
        <v>3.59848484848485</v>
      </c>
      <c r="O315" s="5" t="n">
        <f aca="false">(H315-I315)/H315*100</f>
        <v>13.730255164034</v>
      </c>
      <c r="P315" s="3" t="n">
        <f aca="false">IF(OR(F315="Delivered",F315="Partially Delivered"),1,0)</f>
        <v>1</v>
      </c>
      <c r="Q315" s="3" t="n">
        <f aca="false">IF(F315="Cancelled",1,0)</f>
        <v>0</v>
      </c>
      <c r="R315" s="3" t="n">
        <f aca="false">IF(K315="Yes",1,0)</f>
        <v>1</v>
      </c>
    </row>
    <row r="316" customFormat="false" ht="15" hidden="false" customHeight="false" outlineLevel="0" collapsed="false">
      <c r="A316" s="0" t="s">
        <v>752</v>
      </c>
      <c r="B316" s="0" t="s">
        <v>36</v>
      </c>
      <c r="C316" s="2" t="s">
        <v>137</v>
      </c>
      <c r="D316" s="2" t="s">
        <v>753</v>
      </c>
      <c r="E316" s="3" t="s">
        <v>22</v>
      </c>
      <c r="F316" s="3" t="s">
        <v>29</v>
      </c>
      <c r="G316" s="0" t="n">
        <v>801</v>
      </c>
      <c r="H316" s="4" t="n">
        <v>80.15</v>
      </c>
      <c r="I316" s="4" t="n">
        <v>70.91</v>
      </c>
      <c r="K316" s="3" t="s">
        <v>24</v>
      </c>
      <c r="L316" s="3" t="n">
        <f aca="false">IF(D316="","",IF(D316-C316&lt;0,"",D316-C316))</f>
        <v>15</v>
      </c>
      <c r="M316" s="4" t="n">
        <f aca="false">G316*I316</f>
        <v>56798.91</v>
      </c>
      <c r="N316" s="5" t="str">
        <f aca="false">IF(J316="","",J316/G316*100)</f>
        <v/>
      </c>
      <c r="O316" s="5" t="n">
        <f aca="false">(H316-I316)/H316*100</f>
        <v>11.528384279476</v>
      </c>
      <c r="P316" s="3" t="n">
        <f aca="false">IF(OR(F316="Delivered",F316="Partially Delivered"),1,0)</f>
        <v>1</v>
      </c>
      <c r="Q316" s="3" t="n">
        <f aca="false">IF(F316="Cancelled",1,0)</f>
        <v>0</v>
      </c>
      <c r="R316" s="3" t="n">
        <f aca="false">IF(K316="Yes",1,0)</f>
        <v>1</v>
      </c>
    </row>
    <row r="317" customFormat="false" ht="15" hidden="false" customHeight="false" outlineLevel="0" collapsed="false">
      <c r="A317" s="0" t="s">
        <v>754</v>
      </c>
      <c r="B317" s="0" t="s">
        <v>36</v>
      </c>
      <c r="C317" s="2" t="s">
        <v>755</v>
      </c>
      <c r="D317" s="2" t="s">
        <v>214</v>
      </c>
      <c r="E317" s="3" t="s">
        <v>39</v>
      </c>
      <c r="F317" s="3" t="s">
        <v>29</v>
      </c>
      <c r="G317" s="0" t="n">
        <v>193</v>
      </c>
      <c r="H317" s="4" t="n">
        <v>63.86</v>
      </c>
      <c r="I317" s="4" t="n">
        <v>57.46</v>
      </c>
      <c r="K317" s="3" t="s">
        <v>24</v>
      </c>
      <c r="L317" s="3" t="n">
        <f aca="false">IF(D317="","",IF(D317-C317&lt;0,"",D317-C317))</f>
        <v>14</v>
      </c>
      <c r="M317" s="4" t="n">
        <f aca="false">G317*I317</f>
        <v>11089.78</v>
      </c>
      <c r="N317" s="5" t="str">
        <f aca="false">IF(J317="","",J317/G317*100)</f>
        <v/>
      </c>
      <c r="O317" s="5" t="n">
        <f aca="false">(H317-I317)/H317*100</f>
        <v>10.0219229564673</v>
      </c>
      <c r="P317" s="3" t="n">
        <f aca="false">IF(OR(F317="Delivered",F317="Partially Delivered"),1,0)</f>
        <v>1</v>
      </c>
      <c r="Q317" s="3" t="n">
        <f aca="false">IF(F317="Cancelled",1,0)</f>
        <v>0</v>
      </c>
      <c r="R317" s="3" t="n">
        <f aca="false">IF(K317="Yes",1,0)</f>
        <v>1</v>
      </c>
    </row>
    <row r="318" customFormat="false" ht="15" hidden="false" customHeight="false" outlineLevel="0" collapsed="false">
      <c r="A318" s="0" t="s">
        <v>756</v>
      </c>
      <c r="B318" s="0" t="s">
        <v>36</v>
      </c>
      <c r="C318" s="2" t="s">
        <v>500</v>
      </c>
      <c r="D318" s="2" t="s">
        <v>168</v>
      </c>
      <c r="E318" s="3" t="s">
        <v>43</v>
      </c>
      <c r="F318" s="3" t="s">
        <v>29</v>
      </c>
      <c r="G318" s="0" t="n">
        <v>658</v>
      </c>
      <c r="H318" s="4" t="n">
        <v>86.62</v>
      </c>
      <c r="I318" s="4" t="n">
        <v>79.85</v>
      </c>
      <c r="J318" s="0" t="n">
        <v>72</v>
      </c>
      <c r="K318" s="3" t="s">
        <v>24</v>
      </c>
      <c r="L318" s="3" t="n">
        <f aca="false">IF(D318="","",IF(D318-C318&lt;0,"",D318-C318))</f>
        <v>4</v>
      </c>
      <c r="M318" s="4" t="n">
        <f aca="false">G318*I318</f>
        <v>52541.3</v>
      </c>
      <c r="N318" s="5" t="n">
        <f aca="false">IF(J318="","",J318/G318*100)</f>
        <v>10.9422492401216</v>
      </c>
      <c r="O318" s="5" t="n">
        <f aca="false">(H318-I318)/H318*100</f>
        <v>7.81574694066037</v>
      </c>
      <c r="P318" s="3" t="n">
        <f aca="false">IF(OR(F318="Delivered",F318="Partially Delivered"),1,0)</f>
        <v>1</v>
      </c>
      <c r="Q318" s="3" t="n">
        <f aca="false">IF(F318="Cancelled",1,0)</f>
        <v>0</v>
      </c>
      <c r="R318" s="3" t="n">
        <f aca="false">IF(K318="Yes",1,0)</f>
        <v>1</v>
      </c>
    </row>
    <row r="319" customFormat="false" ht="15" hidden="false" customHeight="false" outlineLevel="0" collapsed="false">
      <c r="A319" s="0" t="s">
        <v>757</v>
      </c>
      <c r="B319" s="0" t="s">
        <v>46</v>
      </c>
      <c r="C319" s="2" t="s">
        <v>758</v>
      </c>
      <c r="D319" s="2" t="s">
        <v>759</v>
      </c>
      <c r="E319" s="3" t="s">
        <v>71</v>
      </c>
      <c r="F319" s="3" t="s">
        <v>29</v>
      </c>
      <c r="G319" s="0" t="n">
        <v>1274</v>
      </c>
      <c r="H319" s="4" t="n">
        <v>24.72</v>
      </c>
      <c r="I319" s="4" t="n">
        <v>23.36</v>
      </c>
      <c r="J319" s="0" t="n">
        <v>37</v>
      </c>
      <c r="K319" s="3" t="s">
        <v>24</v>
      </c>
      <c r="L319" s="3" t="n">
        <f aca="false">IF(D319="","",IF(D319-C319&lt;0,"",D319-C319))</f>
        <v>18</v>
      </c>
      <c r="M319" s="4" t="n">
        <f aca="false">G319*I319</f>
        <v>29760.64</v>
      </c>
      <c r="N319" s="5" t="n">
        <f aca="false">IF(J319="","",J319/G319*100)</f>
        <v>2.90423861852433</v>
      </c>
      <c r="O319" s="5" t="n">
        <f aca="false">(H319-I319)/H319*100</f>
        <v>5.50161812297734</v>
      </c>
      <c r="P319" s="3" t="n">
        <f aca="false">IF(OR(F319="Delivered",F319="Partially Delivered"),1,0)</f>
        <v>1</v>
      </c>
      <c r="Q319" s="3" t="n">
        <f aca="false">IF(F319="Cancelled",1,0)</f>
        <v>0</v>
      </c>
      <c r="R319" s="3" t="n">
        <f aca="false">IF(K319="Yes",1,0)</f>
        <v>1</v>
      </c>
    </row>
    <row r="320" customFormat="false" ht="15" hidden="false" customHeight="false" outlineLevel="0" collapsed="false">
      <c r="A320" s="0" t="s">
        <v>760</v>
      </c>
      <c r="B320" s="0" t="s">
        <v>46</v>
      </c>
      <c r="C320" s="2" t="s">
        <v>761</v>
      </c>
      <c r="D320" s="2" t="s">
        <v>526</v>
      </c>
      <c r="E320" s="3" t="s">
        <v>39</v>
      </c>
      <c r="F320" s="3" t="s">
        <v>58</v>
      </c>
      <c r="G320" s="0" t="n">
        <v>1197</v>
      </c>
      <c r="H320" s="4" t="n">
        <v>88.92</v>
      </c>
      <c r="I320" s="4" t="n">
        <v>78.82</v>
      </c>
      <c r="J320" s="0" t="n">
        <v>31</v>
      </c>
      <c r="K320" s="3" t="s">
        <v>24</v>
      </c>
      <c r="L320" s="3" t="n">
        <f aca="false">IF(D320="","",IF(D320-C320&lt;0,"",D320-C320))</f>
        <v>7</v>
      </c>
      <c r="M320" s="4" t="n">
        <f aca="false">G320*I320</f>
        <v>94347.54</v>
      </c>
      <c r="N320" s="5" t="n">
        <f aca="false">IF(J320="","",J320/G320*100)</f>
        <v>2.58980785296575</v>
      </c>
      <c r="O320" s="5" t="n">
        <f aca="false">(H320-I320)/H320*100</f>
        <v>11.3585245164193</v>
      </c>
      <c r="P320" s="3" t="n">
        <f aca="false">IF(OR(F320="Delivered",F320="Partially Delivered"),1,0)</f>
        <v>1</v>
      </c>
      <c r="Q320" s="3" t="n">
        <f aca="false">IF(F320="Cancelled",1,0)</f>
        <v>0</v>
      </c>
      <c r="R320" s="3" t="n">
        <f aca="false">IF(K320="Yes",1,0)</f>
        <v>1</v>
      </c>
    </row>
    <row r="321" customFormat="false" ht="15" hidden="false" customHeight="false" outlineLevel="0" collapsed="false">
      <c r="A321" s="0" t="s">
        <v>762</v>
      </c>
      <c r="B321" s="0" t="s">
        <v>31</v>
      </c>
      <c r="C321" s="2" t="s">
        <v>208</v>
      </c>
      <c r="D321" s="2" t="s">
        <v>311</v>
      </c>
      <c r="E321" s="3" t="s">
        <v>71</v>
      </c>
      <c r="F321" s="3" t="s">
        <v>29</v>
      </c>
      <c r="G321" s="0" t="n">
        <v>236</v>
      </c>
      <c r="H321" s="4" t="n">
        <v>28.43</v>
      </c>
      <c r="I321" s="4" t="n">
        <v>28.11</v>
      </c>
      <c r="J321" s="0" t="n">
        <v>11</v>
      </c>
      <c r="K321" s="3" t="s">
        <v>24</v>
      </c>
      <c r="L321" s="3" t="n">
        <f aca="false">IF(D321="","",IF(D321-C321&lt;0,"",D321-C321))</f>
        <v>8</v>
      </c>
      <c r="M321" s="4" t="n">
        <f aca="false">G321*I321</f>
        <v>6633.96</v>
      </c>
      <c r="N321" s="5" t="n">
        <f aca="false">IF(J321="","",J321/G321*100)</f>
        <v>4.66101694915254</v>
      </c>
      <c r="O321" s="5" t="n">
        <f aca="false">(H321-I321)/H321*100</f>
        <v>1.12557157931762</v>
      </c>
      <c r="P321" s="3" t="n">
        <f aca="false">IF(OR(F321="Delivered",F321="Partially Delivered"),1,0)</f>
        <v>1</v>
      </c>
      <c r="Q321" s="3" t="n">
        <f aca="false">IF(F321="Cancelled",1,0)</f>
        <v>0</v>
      </c>
      <c r="R321" s="3" t="n">
        <f aca="false">IF(K321="Yes",1,0)</f>
        <v>1</v>
      </c>
    </row>
    <row r="322" customFormat="false" ht="15" hidden="false" customHeight="false" outlineLevel="0" collapsed="false">
      <c r="A322" s="0" t="s">
        <v>763</v>
      </c>
      <c r="B322" s="0" t="s">
        <v>31</v>
      </c>
      <c r="C322" s="2" t="s">
        <v>764</v>
      </c>
      <c r="D322" s="2" t="s">
        <v>765</v>
      </c>
      <c r="E322" s="3" t="s">
        <v>43</v>
      </c>
      <c r="F322" s="3" t="s">
        <v>58</v>
      </c>
      <c r="G322" s="0" t="n">
        <v>1399</v>
      </c>
      <c r="H322" s="4" t="n">
        <v>25.97</v>
      </c>
      <c r="I322" s="4" t="n">
        <v>22.19</v>
      </c>
      <c r="J322" s="0" t="n">
        <v>62</v>
      </c>
      <c r="K322" s="3" t="s">
        <v>24</v>
      </c>
      <c r="L322" s="3" t="n">
        <f aca="false">IF(D322="","",IF(D322-C322&lt;0,"",D322-C322))</f>
        <v>15</v>
      </c>
      <c r="M322" s="4" t="n">
        <f aca="false">G322*I322</f>
        <v>31043.81</v>
      </c>
      <c r="N322" s="5" t="n">
        <f aca="false">IF(J322="","",J322/G322*100)</f>
        <v>4.43173695496783</v>
      </c>
      <c r="O322" s="5" t="n">
        <f aca="false">(H322-I322)/H322*100</f>
        <v>14.55525606469</v>
      </c>
      <c r="P322" s="3" t="n">
        <f aca="false">IF(OR(F322="Delivered",F322="Partially Delivered"),1,0)</f>
        <v>1</v>
      </c>
      <c r="Q322" s="3" t="n">
        <f aca="false">IF(F322="Cancelled",1,0)</f>
        <v>0</v>
      </c>
      <c r="R322" s="3" t="n">
        <f aca="false">IF(K322="Yes",1,0)</f>
        <v>1</v>
      </c>
    </row>
    <row r="323" customFormat="false" ht="15" hidden="false" customHeight="false" outlineLevel="0" collapsed="false">
      <c r="A323" s="0" t="s">
        <v>766</v>
      </c>
      <c r="B323" s="0" t="s">
        <v>31</v>
      </c>
      <c r="C323" s="2" t="s">
        <v>374</v>
      </c>
      <c r="D323" s="2" t="s">
        <v>208</v>
      </c>
      <c r="E323" s="3" t="s">
        <v>71</v>
      </c>
      <c r="F323" s="3" t="s">
        <v>29</v>
      </c>
      <c r="G323" s="0" t="n">
        <v>513</v>
      </c>
      <c r="H323" s="4" t="n">
        <v>24.91</v>
      </c>
      <c r="I323" s="4" t="n">
        <v>22.58</v>
      </c>
      <c r="J323" s="0" t="n">
        <v>29</v>
      </c>
      <c r="K323" s="3" t="s">
        <v>24</v>
      </c>
      <c r="L323" s="3" t="n">
        <f aca="false">IF(D323="","",IF(D323-C323&lt;0,"",D323-C323))</f>
        <v>4</v>
      </c>
      <c r="M323" s="4" t="n">
        <f aca="false">G323*I323</f>
        <v>11583.54</v>
      </c>
      <c r="N323" s="5" t="n">
        <f aca="false">IF(J323="","",J323/G323*100)</f>
        <v>5.65302144249513</v>
      </c>
      <c r="O323" s="5" t="n">
        <f aca="false">(H323-I323)/H323*100</f>
        <v>9.35367322360499</v>
      </c>
      <c r="P323" s="3" t="n">
        <f aca="false">IF(OR(F323="Delivered",F323="Partially Delivered"),1,0)</f>
        <v>1</v>
      </c>
      <c r="Q323" s="3" t="n">
        <f aca="false">IF(F323="Cancelled",1,0)</f>
        <v>0</v>
      </c>
      <c r="R323" s="3" t="n">
        <f aca="false">IF(K323="Yes",1,0)</f>
        <v>1</v>
      </c>
    </row>
    <row r="324" customFormat="false" ht="15" hidden="false" customHeight="false" outlineLevel="0" collapsed="false">
      <c r="A324" s="0" t="s">
        <v>767</v>
      </c>
      <c r="B324" s="0" t="s">
        <v>26</v>
      </c>
      <c r="C324" s="2" t="s">
        <v>704</v>
      </c>
      <c r="D324" s="2" t="s">
        <v>208</v>
      </c>
      <c r="E324" s="3" t="s">
        <v>34</v>
      </c>
      <c r="F324" s="3" t="s">
        <v>29</v>
      </c>
      <c r="G324" s="0" t="n">
        <v>1422</v>
      </c>
      <c r="H324" s="4" t="n">
        <v>83.73</v>
      </c>
      <c r="I324" s="4" t="n">
        <v>76.47</v>
      </c>
      <c r="J324" s="0" t="n">
        <v>198</v>
      </c>
      <c r="K324" s="3" t="s">
        <v>24</v>
      </c>
      <c r="L324" s="3" t="n">
        <f aca="false">IF(D324="","",IF(D324-C324&lt;0,"",D324-C324))</f>
        <v>11</v>
      </c>
      <c r="M324" s="4" t="n">
        <f aca="false">G324*I324</f>
        <v>108740.34</v>
      </c>
      <c r="N324" s="5" t="n">
        <f aca="false">IF(J324="","",J324/G324*100)</f>
        <v>13.9240506329114</v>
      </c>
      <c r="O324" s="5" t="n">
        <f aca="false">(H324-I324)/H324*100</f>
        <v>8.67072733787174</v>
      </c>
      <c r="P324" s="3" t="n">
        <f aca="false">IF(OR(F324="Delivered",F324="Partially Delivered"),1,0)</f>
        <v>1</v>
      </c>
      <c r="Q324" s="3" t="n">
        <f aca="false">IF(F324="Cancelled",1,0)</f>
        <v>0</v>
      </c>
      <c r="R324" s="3" t="n">
        <f aca="false">IF(K324="Yes",1,0)</f>
        <v>1</v>
      </c>
    </row>
    <row r="325" customFormat="false" ht="15" hidden="false" customHeight="false" outlineLevel="0" collapsed="false">
      <c r="A325" s="0" t="s">
        <v>768</v>
      </c>
      <c r="B325" s="0" t="s">
        <v>19</v>
      </c>
      <c r="C325" s="2" t="s">
        <v>351</v>
      </c>
      <c r="D325" s="2" t="s">
        <v>357</v>
      </c>
      <c r="E325" s="3" t="s">
        <v>22</v>
      </c>
      <c r="F325" s="3" t="s">
        <v>29</v>
      </c>
      <c r="G325" s="0" t="n">
        <v>1844</v>
      </c>
      <c r="H325" s="4" t="n">
        <v>76.51</v>
      </c>
      <c r="I325" s="4" t="n">
        <v>73.05</v>
      </c>
      <c r="K325" s="3" t="s">
        <v>24</v>
      </c>
      <c r="L325" s="3" t="n">
        <f aca="false">IF(D325="","",IF(D325-C325&lt;0,"",D325-C325))</f>
        <v>12</v>
      </c>
      <c r="M325" s="4" t="n">
        <f aca="false">G325*I325</f>
        <v>134704.2</v>
      </c>
      <c r="N325" s="5" t="str">
        <f aca="false">IF(J325="","",J325/G325*100)</f>
        <v/>
      </c>
      <c r="O325" s="5" t="n">
        <f aca="false">(H325-I325)/H325*100</f>
        <v>4.52228466867077</v>
      </c>
      <c r="P325" s="3" t="n">
        <f aca="false">IF(OR(F325="Delivered",F325="Partially Delivered"),1,0)</f>
        <v>1</v>
      </c>
      <c r="Q325" s="3" t="n">
        <f aca="false">IF(F325="Cancelled",1,0)</f>
        <v>0</v>
      </c>
      <c r="R325" s="3" t="n">
        <f aca="false">IF(K325="Yes",1,0)</f>
        <v>1</v>
      </c>
    </row>
    <row r="326" customFormat="false" ht="15" hidden="false" customHeight="false" outlineLevel="0" collapsed="false">
      <c r="A326" s="0" t="s">
        <v>769</v>
      </c>
      <c r="B326" s="0" t="s">
        <v>31</v>
      </c>
      <c r="C326" s="2" t="s">
        <v>770</v>
      </c>
      <c r="D326" s="2"/>
      <c r="E326" s="3" t="s">
        <v>71</v>
      </c>
      <c r="F326" s="3" t="s">
        <v>29</v>
      </c>
      <c r="G326" s="0" t="n">
        <v>709</v>
      </c>
      <c r="H326" s="4" t="n">
        <v>61.64</v>
      </c>
      <c r="I326" s="4" t="n">
        <v>54.55</v>
      </c>
      <c r="J326" s="0" t="n">
        <v>41</v>
      </c>
      <c r="K326" s="3" t="s">
        <v>24</v>
      </c>
      <c r="L326" s="0" t="str">
        <f aca="false">IF(D326="","",IF(D326-C326&lt;0,"",D326-C326))</f>
        <v/>
      </c>
      <c r="M326" s="4" t="n">
        <f aca="false">G326*I326</f>
        <v>38675.95</v>
      </c>
      <c r="N326" s="5" t="n">
        <f aca="false">IF(J326="","",J326/G326*100)</f>
        <v>5.78279266572638</v>
      </c>
      <c r="O326" s="5" t="n">
        <f aca="false">(H326-I326)/H326*100</f>
        <v>11.5022712524335</v>
      </c>
      <c r="P326" s="3" t="n">
        <f aca="false">IF(OR(F326="Delivered",F326="Partially Delivered"),1,0)</f>
        <v>1</v>
      </c>
      <c r="Q326" s="3" t="n">
        <f aca="false">IF(F326="Cancelled",1,0)</f>
        <v>0</v>
      </c>
      <c r="R326" s="3" t="n">
        <f aca="false">IF(K326="Yes",1,0)</f>
        <v>1</v>
      </c>
    </row>
    <row r="327" customFormat="false" ht="15" hidden="false" customHeight="false" outlineLevel="0" collapsed="false">
      <c r="A327" s="0" t="s">
        <v>771</v>
      </c>
      <c r="B327" s="0" t="s">
        <v>26</v>
      </c>
      <c r="C327" s="2" t="s">
        <v>772</v>
      </c>
      <c r="D327" s="2" t="s">
        <v>773</v>
      </c>
      <c r="E327" s="3" t="s">
        <v>34</v>
      </c>
      <c r="F327" s="3" t="s">
        <v>29</v>
      </c>
      <c r="G327" s="0" t="n">
        <v>813</v>
      </c>
      <c r="H327" s="4" t="n">
        <v>45.68</v>
      </c>
      <c r="I327" s="4" t="n">
        <v>41.78</v>
      </c>
      <c r="K327" s="3" t="s">
        <v>44</v>
      </c>
      <c r="L327" s="3" t="n">
        <f aca="false">IF(D327="","",IF(D327-C327&lt;0,"",D327-C327))</f>
        <v>16</v>
      </c>
      <c r="M327" s="4" t="n">
        <f aca="false">G327*I327</f>
        <v>33967.14</v>
      </c>
      <c r="N327" s="5" t="str">
        <f aca="false">IF(J327="","",J327/G327*100)</f>
        <v/>
      </c>
      <c r="O327" s="5" t="n">
        <f aca="false">(H327-I327)/H327*100</f>
        <v>8.53765323992995</v>
      </c>
      <c r="P327" s="3" t="n">
        <f aca="false">IF(OR(F327="Delivered",F327="Partially Delivered"),1,0)</f>
        <v>1</v>
      </c>
      <c r="Q327" s="3" t="n">
        <f aca="false">IF(F327="Cancelled",1,0)</f>
        <v>0</v>
      </c>
      <c r="R327" s="3" t="n">
        <f aca="false">IF(K327="Yes",1,0)</f>
        <v>0</v>
      </c>
    </row>
    <row r="328" customFormat="false" ht="15" hidden="false" customHeight="false" outlineLevel="0" collapsed="false">
      <c r="A328" s="0" t="s">
        <v>774</v>
      </c>
      <c r="B328" s="0" t="s">
        <v>26</v>
      </c>
      <c r="C328" s="2" t="s">
        <v>475</v>
      </c>
      <c r="D328" s="2" t="s">
        <v>267</v>
      </c>
      <c r="E328" s="3" t="s">
        <v>22</v>
      </c>
      <c r="F328" s="3" t="s">
        <v>29</v>
      </c>
      <c r="G328" s="0" t="n">
        <v>1004</v>
      </c>
      <c r="H328" s="4" t="n">
        <v>96.51</v>
      </c>
      <c r="I328" s="4" t="n">
        <v>92.9</v>
      </c>
      <c r="J328" s="0" t="n">
        <v>146</v>
      </c>
      <c r="K328" s="3" t="s">
        <v>44</v>
      </c>
      <c r="L328" s="3" t="n">
        <f aca="false">IF(D328="","",IF(D328-C328&lt;0,"",D328-C328))</f>
        <v>3</v>
      </c>
      <c r="M328" s="4" t="n">
        <f aca="false">G328*I328</f>
        <v>93271.6</v>
      </c>
      <c r="N328" s="5" t="n">
        <f aca="false">IF(J328="","",J328/G328*100)</f>
        <v>14.5418326693227</v>
      </c>
      <c r="O328" s="5" t="n">
        <f aca="false">(H328-I328)/H328*100</f>
        <v>3.74054502124132</v>
      </c>
      <c r="P328" s="3" t="n">
        <f aca="false">IF(OR(F328="Delivered",F328="Partially Delivered"),1,0)</f>
        <v>1</v>
      </c>
      <c r="Q328" s="3" t="n">
        <f aca="false">IF(F328="Cancelled",1,0)</f>
        <v>0</v>
      </c>
      <c r="R328" s="3" t="n">
        <f aca="false">IF(K328="Yes",1,0)</f>
        <v>0</v>
      </c>
    </row>
    <row r="329" customFormat="false" ht="15" hidden="false" customHeight="false" outlineLevel="0" collapsed="false">
      <c r="A329" s="0" t="s">
        <v>775</v>
      </c>
      <c r="B329" s="0" t="s">
        <v>46</v>
      </c>
      <c r="C329" s="2" t="s">
        <v>434</v>
      </c>
      <c r="D329" s="2" t="s">
        <v>469</v>
      </c>
      <c r="E329" s="3" t="s">
        <v>43</v>
      </c>
      <c r="F329" s="3" t="s">
        <v>29</v>
      </c>
      <c r="G329" s="0" t="n">
        <v>452</v>
      </c>
      <c r="H329" s="4" t="n">
        <v>46.45</v>
      </c>
      <c r="I329" s="4" t="n">
        <v>40.39</v>
      </c>
      <c r="J329" s="0" t="n">
        <v>9</v>
      </c>
      <c r="K329" s="3" t="s">
        <v>24</v>
      </c>
      <c r="L329" s="3" t="n">
        <f aca="false">IF(D329="","",IF(D329-C329&lt;0,"",D329-C329))</f>
        <v>4</v>
      </c>
      <c r="M329" s="4" t="n">
        <f aca="false">G329*I329</f>
        <v>18256.28</v>
      </c>
      <c r="N329" s="5" t="n">
        <f aca="false">IF(J329="","",J329/G329*100)</f>
        <v>1.99115044247788</v>
      </c>
      <c r="O329" s="5" t="n">
        <f aca="false">(H329-I329)/H329*100</f>
        <v>13.0462863293864</v>
      </c>
      <c r="P329" s="3" t="n">
        <f aca="false">IF(OR(F329="Delivered",F329="Partially Delivered"),1,0)</f>
        <v>1</v>
      </c>
      <c r="Q329" s="3" t="n">
        <f aca="false">IF(F329="Cancelled",1,0)</f>
        <v>0</v>
      </c>
      <c r="R329" s="3" t="n">
        <f aca="false">IF(K329="Yes",1,0)</f>
        <v>1</v>
      </c>
    </row>
    <row r="330" customFormat="false" ht="15" hidden="false" customHeight="false" outlineLevel="0" collapsed="false">
      <c r="A330" s="0" t="s">
        <v>776</v>
      </c>
      <c r="B330" s="0" t="s">
        <v>36</v>
      </c>
      <c r="C330" s="2" t="s">
        <v>374</v>
      </c>
      <c r="D330" s="2" t="s">
        <v>311</v>
      </c>
      <c r="E330" s="3" t="s">
        <v>43</v>
      </c>
      <c r="F330" s="3" t="s">
        <v>62</v>
      </c>
      <c r="G330" s="0" t="n">
        <v>1419</v>
      </c>
      <c r="H330" s="4" t="n">
        <v>83.91</v>
      </c>
      <c r="I330" s="4" t="n">
        <v>71.46</v>
      </c>
      <c r="J330" s="0" t="n">
        <v>137</v>
      </c>
      <c r="K330" s="3" t="s">
        <v>24</v>
      </c>
      <c r="L330" s="3" t="n">
        <f aca="false">IF(D330="","",IF(D330-C330&lt;0,"",D330-C330))</f>
        <v>12</v>
      </c>
      <c r="M330" s="4" t="n">
        <f aca="false">G330*I330</f>
        <v>101401.74</v>
      </c>
      <c r="N330" s="5" t="n">
        <f aca="false">IF(J330="","",J330/G330*100)</f>
        <v>9.65468639887245</v>
      </c>
      <c r="O330" s="5" t="n">
        <f aca="false">(H330-I330)/H330*100</f>
        <v>14.8373257061137</v>
      </c>
      <c r="P330" s="3" t="n">
        <f aca="false">IF(OR(F330="Delivered",F330="Partially Delivered"),1,0)</f>
        <v>0</v>
      </c>
      <c r="Q330" s="3" t="n">
        <f aca="false">IF(F330="Cancelled",1,0)</f>
        <v>0</v>
      </c>
      <c r="R330" s="3" t="n">
        <f aca="false">IF(K330="Yes",1,0)</f>
        <v>1</v>
      </c>
    </row>
    <row r="331" customFormat="false" ht="15" hidden="false" customHeight="false" outlineLevel="0" collapsed="false">
      <c r="A331" s="0" t="s">
        <v>777</v>
      </c>
      <c r="B331" s="0" t="s">
        <v>36</v>
      </c>
      <c r="C331" s="2" t="s">
        <v>88</v>
      </c>
      <c r="D331" s="2" t="s">
        <v>778</v>
      </c>
      <c r="E331" s="3" t="s">
        <v>39</v>
      </c>
      <c r="F331" s="3" t="s">
        <v>29</v>
      </c>
      <c r="G331" s="0" t="n">
        <v>1584</v>
      </c>
      <c r="H331" s="4" t="n">
        <v>53.73</v>
      </c>
      <c r="I331" s="4" t="n">
        <v>51.92</v>
      </c>
      <c r="J331" s="0" t="n">
        <v>167</v>
      </c>
      <c r="K331" s="3" t="s">
        <v>44</v>
      </c>
      <c r="L331" s="3" t="n">
        <f aca="false">IF(D331="","",IF(D331-C331&lt;0,"",D331-C331))</f>
        <v>18</v>
      </c>
      <c r="M331" s="4" t="n">
        <f aca="false">G331*I331</f>
        <v>82241.28</v>
      </c>
      <c r="N331" s="5" t="n">
        <f aca="false">IF(J331="","",J331/G331*100)</f>
        <v>10.5429292929293</v>
      </c>
      <c r="O331" s="5" t="n">
        <f aca="false">(H331-I331)/H331*100</f>
        <v>3.36869532849431</v>
      </c>
      <c r="P331" s="3" t="n">
        <f aca="false">IF(OR(F331="Delivered",F331="Partially Delivered"),1,0)</f>
        <v>1</v>
      </c>
      <c r="Q331" s="3" t="n">
        <f aca="false">IF(F331="Cancelled",1,0)</f>
        <v>0</v>
      </c>
      <c r="R331" s="3" t="n">
        <f aca="false">IF(K331="Yes",1,0)</f>
        <v>0</v>
      </c>
    </row>
    <row r="332" customFormat="false" ht="15" hidden="false" customHeight="false" outlineLevel="0" collapsed="false">
      <c r="A332" s="0" t="s">
        <v>779</v>
      </c>
      <c r="B332" s="0" t="s">
        <v>31</v>
      </c>
      <c r="C332" s="2" t="s">
        <v>780</v>
      </c>
      <c r="D332" s="2" t="s">
        <v>219</v>
      </c>
      <c r="E332" s="3" t="s">
        <v>34</v>
      </c>
      <c r="F332" s="3" t="s">
        <v>62</v>
      </c>
      <c r="G332" s="0" t="n">
        <v>196</v>
      </c>
      <c r="H332" s="4" t="n">
        <v>44.36</v>
      </c>
      <c r="I332" s="4" t="n">
        <v>43.81</v>
      </c>
      <c r="J332" s="0" t="n">
        <v>6</v>
      </c>
      <c r="K332" s="3" t="s">
        <v>24</v>
      </c>
      <c r="L332" s="3" t="n">
        <f aca="false">IF(D332="","",IF(D332-C332&lt;0,"",D332-C332))</f>
        <v>18</v>
      </c>
      <c r="M332" s="4" t="n">
        <f aca="false">G332*I332</f>
        <v>8586.76</v>
      </c>
      <c r="N332" s="5" t="n">
        <f aca="false">IF(J332="","",J332/G332*100)</f>
        <v>3.06122448979592</v>
      </c>
      <c r="O332" s="5" t="n">
        <f aca="false">(H332-I332)/H332*100</f>
        <v>1.23985572587916</v>
      </c>
      <c r="P332" s="3" t="n">
        <f aca="false">IF(OR(F332="Delivered",F332="Partially Delivered"),1,0)</f>
        <v>0</v>
      </c>
      <c r="Q332" s="3" t="n">
        <f aca="false">IF(F332="Cancelled",1,0)</f>
        <v>0</v>
      </c>
      <c r="R332" s="3" t="n">
        <f aca="false">IF(K332="Yes",1,0)</f>
        <v>1</v>
      </c>
    </row>
    <row r="333" customFormat="false" ht="15" hidden="false" customHeight="false" outlineLevel="0" collapsed="false">
      <c r="A333" s="0" t="s">
        <v>781</v>
      </c>
      <c r="B333" s="0" t="s">
        <v>19</v>
      </c>
      <c r="C333" s="2" t="s">
        <v>265</v>
      </c>
      <c r="D333" s="2" t="s">
        <v>638</v>
      </c>
      <c r="E333" s="3" t="s">
        <v>22</v>
      </c>
      <c r="F333" s="3" t="s">
        <v>29</v>
      </c>
      <c r="G333" s="0" t="n">
        <v>1221</v>
      </c>
      <c r="H333" s="4" t="n">
        <v>53.19</v>
      </c>
      <c r="I333" s="4" t="n">
        <v>46.18</v>
      </c>
      <c r="J333" s="0" t="n">
        <v>29</v>
      </c>
      <c r="K333" s="3" t="s">
        <v>24</v>
      </c>
      <c r="L333" s="3" t="n">
        <f aca="false">IF(D333="","",IF(D333-C333&lt;0,"",D333-C333))</f>
        <v>4</v>
      </c>
      <c r="M333" s="4" t="n">
        <f aca="false">G333*I333</f>
        <v>56385.78</v>
      </c>
      <c r="N333" s="5" t="n">
        <f aca="false">IF(J333="","",J333/G333*100)</f>
        <v>2.37510237510238</v>
      </c>
      <c r="O333" s="5" t="n">
        <f aca="false">(H333-I333)/H333*100</f>
        <v>13.1791690167325</v>
      </c>
      <c r="P333" s="3" t="n">
        <f aca="false">IF(OR(F333="Delivered",F333="Partially Delivered"),1,0)</f>
        <v>1</v>
      </c>
      <c r="Q333" s="3" t="n">
        <f aca="false">IF(F333="Cancelled",1,0)</f>
        <v>0</v>
      </c>
      <c r="R333" s="3" t="n">
        <f aca="false">IF(K333="Yes",1,0)</f>
        <v>1</v>
      </c>
    </row>
    <row r="334" customFormat="false" ht="15" hidden="false" customHeight="false" outlineLevel="0" collapsed="false">
      <c r="A334" s="0" t="s">
        <v>782</v>
      </c>
      <c r="B334" s="0" t="s">
        <v>19</v>
      </c>
      <c r="C334" s="2" t="s">
        <v>311</v>
      </c>
      <c r="D334" s="2" t="s">
        <v>594</v>
      </c>
      <c r="E334" s="3" t="s">
        <v>39</v>
      </c>
      <c r="F334" s="3" t="s">
        <v>29</v>
      </c>
      <c r="G334" s="0" t="n">
        <v>913</v>
      </c>
      <c r="H334" s="4" t="n">
        <v>37.5</v>
      </c>
      <c r="I334" s="4" t="n">
        <v>36.2</v>
      </c>
      <c r="K334" s="3" t="s">
        <v>24</v>
      </c>
      <c r="L334" s="3" t="n">
        <f aca="false">IF(D334="","",IF(D334-C334&lt;0,"",D334-C334))</f>
        <v>14</v>
      </c>
      <c r="M334" s="4" t="n">
        <f aca="false">G334*I334</f>
        <v>33050.6</v>
      </c>
      <c r="N334" s="5" t="str">
        <f aca="false">IF(J334="","",J334/G334*100)</f>
        <v/>
      </c>
      <c r="O334" s="5" t="n">
        <f aca="false">(H334-I334)/H334*100</f>
        <v>3.46666666666666</v>
      </c>
      <c r="P334" s="3" t="n">
        <f aca="false">IF(OR(F334="Delivered",F334="Partially Delivered"),1,0)</f>
        <v>1</v>
      </c>
      <c r="Q334" s="3" t="n">
        <f aca="false">IF(F334="Cancelled",1,0)</f>
        <v>0</v>
      </c>
      <c r="R334" s="3" t="n">
        <f aca="false">IF(K334="Yes",1,0)</f>
        <v>1</v>
      </c>
    </row>
    <row r="335" customFormat="false" ht="15" hidden="false" customHeight="false" outlineLevel="0" collapsed="false">
      <c r="A335" s="0" t="s">
        <v>783</v>
      </c>
      <c r="B335" s="0" t="s">
        <v>19</v>
      </c>
      <c r="C335" s="2" t="s">
        <v>784</v>
      </c>
      <c r="D335" s="2" t="s">
        <v>759</v>
      </c>
      <c r="E335" s="3" t="s">
        <v>39</v>
      </c>
      <c r="F335" s="3" t="s">
        <v>29</v>
      </c>
      <c r="G335" s="0" t="n">
        <v>1784</v>
      </c>
      <c r="H335" s="4" t="n">
        <v>85.01</v>
      </c>
      <c r="I335" s="4" t="n">
        <v>76.69</v>
      </c>
      <c r="J335" s="0" t="n">
        <v>37</v>
      </c>
      <c r="K335" s="3" t="s">
        <v>24</v>
      </c>
      <c r="L335" s="3" t="n">
        <f aca="false">IF(D335="","",IF(D335-C335&lt;0,"",D335-C335))</f>
        <v>2</v>
      </c>
      <c r="M335" s="4" t="n">
        <f aca="false">G335*I335</f>
        <v>136814.96</v>
      </c>
      <c r="N335" s="5" t="n">
        <f aca="false">IF(J335="","",J335/G335*100)</f>
        <v>2.07399103139013</v>
      </c>
      <c r="O335" s="5" t="n">
        <f aca="false">(H335-I335)/H335*100</f>
        <v>9.7870838724856</v>
      </c>
      <c r="P335" s="3" t="n">
        <f aca="false">IF(OR(F335="Delivered",F335="Partially Delivered"),1,0)</f>
        <v>1</v>
      </c>
      <c r="Q335" s="3" t="n">
        <f aca="false">IF(F335="Cancelled",1,0)</f>
        <v>0</v>
      </c>
      <c r="R335" s="3" t="n">
        <f aca="false">IF(K335="Yes",1,0)</f>
        <v>1</v>
      </c>
    </row>
    <row r="336" customFormat="false" ht="15" hidden="false" customHeight="false" outlineLevel="0" collapsed="false">
      <c r="A336" s="0" t="s">
        <v>785</v>
      </c>
      <c r="B336" s="0" t="s">
        <v>26</v>
      </c>
      <c r="C336" s="2" t="s">
        <v>501</v>
      </c>
      <c r="D336" s="2"/>
      <c r="E336" s="3" t="s">
        <v>43</v>
      </c>
      <c r="F336" s="3" t="s">
        <v>29</v>
      </c>
      <c r="G336" s="0" t="n">
        <v>1893</v>
      </c>
      <c r="H336" s="4" t="n">
        <v>55.8</v>
      </c>
      <c r="I336" s="4" t="n">
        <v>52.35</v>
      </c>
      <c r="K336" s="3" t="s">
        <v>24</v>
      </c>
      <c r="L336" s="0" t="str">
        <f aca="false">IF(D336="","",IF(D336-C336&lt;0,"",D336-C336))</f>
        <v/>
      </c>
      <c r="M336" s="4" t="n">
        <f aca="false">G336*I336</f>
        <v>99098.55</v>
      </c>
      <c r="N336" s="5" t="str">
        <f aca="false">IF(J336="","",J336/G336*100)</f>
        <v/>
      </c>
      <c r="O336" s="5" t="n">
        <f aca="false">(H336-I336)/H336*100</f>
        <v>6.18279569892472</v>
      </c>
      <c r="P336" s="3" t="n">
        <f aca="false">IF(OR(F336="Delivered",F336="Partially Delivered"),1,0)</f>
        <v>1</v>
      </c>
      <c r="Q336" s="3" t="n">
        <f aca="false">IF(F336="Cancelled",1,0)</f>
        <v>0</v>
      </c>
      <c r="R336" s="3" t="n">
        <f aca="false">IF(K336="Yes",1,0)</f>
        <v>1</v>
      </c>
    </row>
    <row r="337" customFormat="false" ht="15" hidden="false" customHeight="false" outlineLevel="0" collapsed="false">
      <c r="A337" s="0" t="s">
        <v>786</v>
      </c>
      <c r="B337" s="0" t="s">
        <v>26</v>
      </c>
      <c r="C337" s="2" t="s">
        <v>787</v>
      </c>
      <c r="D337" s="2" t="s">
        <v>788</v>
      </c>
      <c r="E337" s="3" t="s">
        <v>71</v>
      </c>
      <c r="F337" s="3" t="s">
        <v>62</v>
      </c>
      <c r="G337" s="0" t="n">
        <v>538</v>
      </c>
      <c r="H337" s="4" t="n">
        <v>34.3</v>
      </c>
      <c r="I337" s="4" t="n">
        <v>32.25</v>
      </c>
      <c r="J337" s="0" t="n">
        <v>84</v>
      </c>
      <c r="K337" s="3" t="s">
        <v>44</v>
      </c>
      <c r="L337" s="3" t="n">
        <f aca="false">IF(D337="","",IF(D337-C337&lt;0,"",D337-C337))</f>
        <v>12</v>
      </c>
      <c r="M337" s="4" t="n">
        <f aca="false">G337*I337</f>
        <v>17350.5</v>
      </c>
      <c r="N337" s="5" t="n">
        <f aca="false">IF(J337="","",J337/G337*100)</f>
        <v>15.6133828996283</v>
      </c>
      <c r="O337" s="5" t="n">
        <f aca="false">(H337-I337)/H337*100</f>
        <v>5.97667638483964</v>
      </c>
      <c r="P337" s="3" t="n">
        <f aca="false">IF(OR(F337="Delivered",F337="Partially Delivered"),1,0)</f>
        <v>0</v>
      </c>
      <c r="Q337" s="3" t="n">
        <f aca="false">IF(F337="Cancelled",1,0)</f>
        <v>0</v>
      </c>
      <c r="R337" s="3" t="n">
        <f aca="false">IF(K337="Yes",1,0)</f>
        <v>0</v>
      </c>
    </row>
    <row r="338" customFormat="false" ht="15" hidden="false" customHeight="false" outlineLevel="0" collapsed="false">
      <c r="A338" s="0" t="s">
        <v>789</v>
      </c>
      <c r="B338" s="0" t="s">
        <v>26</v>
      </c>
      <c r="C338" s="2" t="s">
        <v>48</v>
      </c>
      <c r="D338" s="2" t="s">
        <v>405</v>
      </c>
      <c r="E338" s="3" t="s">
        <v>22</v>
      </c>
      <c r="F338" s="3" t="s">
        <v>62</v>
      </c>
      <c r="G338" s="0" t="n">
        <v>978</v>
      </c>
      <c r="H338" s="4" t="n">
        <v>94.15</v>
      </c>
      <c r="I338" s="4" t="n">
        <v>87.7</v>
      </c>
      <c r="J338" s="0" t="n">
        <v>149</v>
      </c>
      <c r="K338" s="3" t="s">
        <v>44</v>
      </c>
      <c r="L338" s="3" t="n">
        <f aca="false">IF(D338="","",IF(D338-C338&lt;0,"",D338-C338))</f>
        <v>17</v>
      </c>
      <c r="M338" s="4" t="n">
        <f aca="false">G338*I338</f>
        <v>85770.6</v>
      </c>
      <c r="N338" s="5" t="n">
        <f aca="false">IF(J338="","",J338/G338*100)</f>
        <v>15.2351738241309</v>
      </c>
      <c r="O338" s="5" t="n">
        <f aca="false">(H338-I338)/H338*100</f>
        <v>6.85077004779607</v>
      </c>
      <c r="P338" s="3" t="n">
        <f aca="false">IF(OR(F338="Delivered",F338="Partially Delivered"),1,0)</f>
        <v>0</v>
      </c>
      <c r="Q338" s="3" t="n">
        <f aca="false">IF(F338="Cancelled",1,0)</f>
        <v>0</v>
      </c>
      <c r="R338" s="3" t="n">
        <f aca="false">IF(K338="Yes",1,0)</f>
        <v>0</v>
      </c>
    </row>
    <row r="339" customFormat="false" ht="15" hidden="false" customHeight="false" outlineLevel="0" collapsed="false">
      <c r="A339" s="0" t="s">
        <v>790</v>
      </c>
      <c r="B339" s="0" t="s">
        <v>46</v>
      </c>
      <c r="C339" s="2" t="s">
        <v>791</v>
      </c>
      <c r="D339" s="2" t="s">
        <v>110</v>
      </c>
      <c r="E339" s="3" t="s">
        <v>43</v>
      </c>
      <c r="F339" s="3" t="s">
        <v>23</v>
      </c>
      <c r="G339" s="0" t="n">
        <v>1713</v>
      </c>
      <c r="H339" s="4" t="n">
        <v>47.45</v>
      </c>
      <c r="I339" s="4" t="n">
        <v>42.05</v>
      </c>
      <c r="J339" s="0" t="n">
        <v>53</v>
      </c>
      <c r="K339" s="3" t="s">
        <v>24</v>
      </c>
      <c r="L339" s="3" t="n">
        <f aca="false">IF(D339="","",IF(D339-C339&lt;0,"",D339-C339))</f>
        <v>16</v>
      </c>
      <c r="M339" s="4" t="n">
        <f aca="false">G339*I339</f>
        <v>72031.65</v>
      </c>
      <c r="N339" s="5" t="n">
        <f aca="false">IF(J339="","",J339/G339*100)</f>
        <v>3.09398715703444</v>
      </c>
      <c r="O339" s="5" t="n">
        <f aca="false">(H339-I339)/H339*100</f>
        <v>11.3804004214963</v>
      </c>
      <c r="P339" s="3" t="n">
        <f aca="false">IF(OR(F339="Delivered",F339="Partially Delivered"),1,0)</f>
        <v>0</v>
      </c>
      <c r="Q339" s="3" t="n">
        <f aca="false">IF(F339="Cancelled",1,0)</f>
        <v>1</v>
      </c>
      <c r="R339" s="3" t="n">
        <f aca="false">IF(K339="Yes",1,0)</f>
        <v>1</v>
      </c>
    </row>
    <row r="340" customFormat="false" ht="15" hidden="false" customHeight="false" outlineLevel="0" collapsed="false">
      <c r="A340" s="0" t="s">
        <v>792</v>
      </c>
      <c r="B340" s="0" t="s">
        <v>26</v>
      </c>
      <c r="C340" s="2" t="s">
        <v>793</v>
      </c>
      <c r="D340" s="2" t="s">
        <v>794</v>
      </c>
      <c r="E340" s="3" t="s">
        <v>43</v>
      </c>
      <c r="F340" s="3" t="s">
        <v>62</v>
      </c>
      <c r="G340" s="0" t="n">
        <v>600</v>
      </c>
      <c r="H340" s="4" t="n">
        <v>60.1</v>
      </c>
      <c r="I340" s="4" t="n">
        <v>57.92</v>
      </c>
      <c r="J340" s="0" t="n">
        <v>95</v>
      </c>
      <c r="K340" s="3" t="s">
        <v>44</v>
      </c>
      <c r="L340" s="3" t="n">
        <f aca="false">IF(D340="","",IF(D340-C340&lt;0,"",D340-C340))</f>
        <v>4</v>
      </c>
      <c r="M340" s="4" t="n">
        <f aca="false">G340*I340</f>
        <v>34752</v>
      </c>
      <c r="N340" s="5" t="n">
        <f aca="false">IF(J340="","",J340/G340*100)</f>
        <v>15.8333333333333</v>
      </c>
      <c r="O340" s="5" t="n">
        <f aca="false">(H340-I340)/H340*100</f>
        <v>3.62728785357737</v>
      </c>
      <c r="P340" s="3" t="n">
        <f aca="false">IF(OR(F340="Delivered",F340="Partially Delivered"),1,0)</f>
        <v>0</v>
      </c>
      <c r="Q340" s="3" t="n">
        <f aca="false">IF(F340="Cancelled",1,0)</f>
        <v>0</v>
      </c>
      <c r="R340" s="3" t="n">
        <f aca="false">IF(K340="Yes",1,0)</f>
        <v>0</v>
      </c>
    </row>
    <row r="341" customFormat="false" ht="15" hidden="false" customHeight="false" outlineLevel="0" collapsed="false">
      <c r="A341" s="0" t="s">
        <v>795</v>
      </c>
      <c r="B341" s="0" t="s">
        <v>19</v>
      </c>
      <c r="C341" s="2" t="s">
        <v>183</v>
      </c>
      <c r="D341" s="2" t="s">
        <v>352</v>
      </c>
      <c r="E341" s="3" t="s">
        <v>71</v>
      </c>
      <c r="F341" s="3" t="s">
        <v>62</v>
      </c>
      <c r="G341" s="0" t="n">
        <v>387</v>
      </c>
      <c r="H341" s="4" t="n">
        <v>100.28</v>
      </c>
      <c r="I341" s="4" t="n">
        <v>85.54</v>
      </c>
      <c r="J341" s="0" t="n">
        <v>5</v>
      </c>
      <c r="K341" s="3" t="s">
        <v>24</v>
      </c>
      <c r="L341" s="3" t="n">
        <f aca="false">IF(D341="","",IF(D341-C341&lt;0,"",D341-C341))</f>
        <v>18</v>
      </c>
      <c r="M341" s="4" t="n">
        <f aca="false">G341*I341</f>
        <v>33103.98</v>
      </c>
      <c r="N341" s="5" t="n">
        <f aca="false">IF(J341="","",J341/G341*100)</f>
        <v>1.29198966408269</v>
      </c>
      <c r="O341" s="5" t="n">
        <f aca="false">(H341-I341)/H341*100</f>
        <v>14.698843238931</v>
      </c>
      <c r="P341" s="3" t="n">
        <f aca="false">IF(OR(F341="Delivered",F341="Partially Delivered"),1,0)</f>
        <v>0</v>
      </c>
      <c r="Q341" s="3" t="n">
        <f aca="false">IF(F341="Cancelled",1,0)</f>
        <v>0</v>
      </c>
      <c r="R341" s="3" t="n">
        <f aca="false">IF(K341="Yes",1,0)</f>
        <v>1</v>
      </c>
    </row>
    <row r="342" customFormat="false" ht="15" hidden="false" customHeight="false" outlineLevel="0" collapsed="false">
      <c r="A342" s="0" t="s">
        <v>796</v>
      </c>
      <c r="B342" s="0" t="s">
        <v>19</v>
      </c>
      <c r="C342" s="2" t="s">
        <v>340</v>
      </c>
      <c r="D342" s="2" t="s">
        <v>569</v>
      </c>
      <c r="E342" s="3" t="s">
        <v>34</v>
      </c>
      <c r="F342" s="3" t="s">
        <v>62</v>
      </c>
      <c r="G342" s="0" t="n">
        <v>921</v>
      </c>
      <c r="H342" s="4" t="n">
        <v>68.83</v>
      </c>
      <c r="I342" s="4" t="n">
        <v>59.13</v>
      </c>
      <c r="J342" s="0" t="n">
        <v>22</v>
      </c>
      <c r="K342" s="3" t="s">
        <v>24</v>
      </c>
      <c r="L342" s="3" t="n">
        <f aca="false">IF(D342="","",IF(D342-C342&lt;0,"",D342-C342))</f>
        <v>9</v>
      </c>
      <c r="M342" s="4" t="n">
        <f aca="false">G342*I342</f>
        <v>54458.73</v>
      </c>
      <c r="N342" s="5" t="n">
        <f aca="false">IF(J342="","",J342/G342*100)</f>
        <v>2.38870792616721</v>
      </c>
      <c r="O342" s="5" t="n">
        <f aca="false">(H342-I342)/H342*100</f>
        <v>14.0926921400552</v>
      </c>
      <c r="P342" s="3" t="n">
        <f aca="false">IF(OR(F342="Delivered",F342="Partially Delivered"),1,0)</f>
        <v>0</v>
      </c>
      <c r="Q342" s="3" t="n">
        <f aca="false">IF(F342="Cancelled",1,0)</f>
        <v>0</v>
      </c>
      <c r="R342" s="3" t="n">
        <f aca="false">IF(K342="Yes",1,0)</f>
        <v>1</v>
      </c>
    </row>
    <row r="343" customFormat="false" ht="15" hidden="false" customHeight="false" outlineLevel="0" collapsed="false">
      <c r="A343" s="0" t="s">
        <v>797</v>
      </c>
      <c r="B343" s="0" t="s">
        <v>36</v>
      </c>
      <c r="C343" s="2" t="s">
        <v>196</v>
      </c>
      <c r="D343" s="2" t="s">
        <v>798</v>
      </c>
      <c r="E343" s="3" t="s">
        <v>34</v>
      </c>
      <c r="F343" s="3" t="s">
        <v>29</v>
      </c>
      <c r="G343" s="0" t="n">
        <v>690</v>
      </c>
      <c r="H343" s="4" t="n">
        <v>22.47</v>
      </c>
      <c r="I343" s="4" t="n">
        <v>21.94</v>
      </c>
      <c r="J343" s="0" t="n">
        <v>77</v>
      </c>
      <c r="K343" s="3" t="s">
        <v>24</v>
      </c>
      <c r="L343" s="3" t="n">
        <f aca="false">IF(D343="","",IF(D343-C343&lt;0,"",D343-C343))</f>
        <v>14</v>
      </c>
      <c r="M343" s="4" t="n">
        <f aca="false">G343*I343</f>
        <v>15138.6</v>
      </c>
      <c r="N343" s="5" t="n">
        <f aca="false">IF(J343="","",J343/G343*100)</f>
        <v>11.1594202898551</v>
      </c>
      <c r="O343" s="5" t="n">
        <f aca="false">(H343-I343)/H343*100</f>
        <v>2.3587004895416</v>
      </c>
      <c r="P343" s="3" t="n">
        <f aca="false">IF(OR(F343="Delivered",F343="Partially Delivered"),1,0)</f>
        <v>1</v>
      </c>
      <c r="Q343" s="3" t="n">
        <f aca="false">IF(F343="Cancelled",1,0)</f>
        <v>0</v>
      </c>
      <c r="R343" s="3" t="n">
        <f aca="false">IF(K343="Yes",1,0)</f>
        <v>1</v>
      </c>
    </row>
    <row r="344" customFormat="false" ht="15" hidden="false" customHeight="false" outlineLevel="0" collapsed="false">
      <c r="A344" s="0" t="s">
        <v>799</v>
      </c>
      <c r="B344" s="0" t="s">
        <v>19</v>
      </c>
      <c r="C344" s="2" t="s">
        <v>800</v>
      </c>
      <c r="D344" s="2" t="s">
        <v>801</v>
      </c>
      <c r="E344" s="3" t="s">
        <v>22</v>
      </c>
      <c r="F344" s="3" t="s">
        <v>23</v>
      </c>
      <c r="G344" s="0" t="n">
        <v>1852</v>
      </c>
      <c r="H344" s="4" t="n">
        <v>104.04</v>
      </c>
      <c r="I344" s="4" t="n">
        <v>94.89</v>
      </c>
      <c r="J344" s="0" t="n">
        <v>36</v>
      </c>
      <c r="K344" s="3" t="s">
        <v>24</v>
      </c>
      <c r="L344" s="3" t="n">
        <f aca="false">IF(D344="","",IF(D344-C344&lt;0,"",D344-C344))</f>
        <v>20</v>
      </c>
      <c r="M344" s="4" t="n">
        <f aca="false">G344*I344</f>
        <v>175736.28</v>
      </c>
      <c r="N344" s="5" t="n">
        <f aca="false">IF(J344="","",J344/G344*100)</f>
        <v>1.9438444924406</v>
      </c>
      <c r="O344" s="5" t="n">
        <f aca="false">(H344-I344)/H344*100</f>
        <v>8.79469434832757</v>
      </c>
      <c r="P344" s="3" t="n">
        <f aca="false">IF(OR(F344="Delivered",F344="Partially Delivered"),1,0)</f>
        <v>0</v>
      </c>
      <c r="Q344" s="3" t="n">
        <f aca="false">IF(F344="Cancelled",1,0)</f>
        <v>1</v>
      </c>
      <c r="R344" s="3" t="n">
        <f aca="false">IF(K344="Yes",1,0)</f>
        <v>1</v>
      </c>
    </row>
    <row r="345" customFormat="false" ht="15" hidden="false" customHeight="false" outlineLevel="0" collapsed="false">
      <c r="A345" s="0" t="s">
        <v>802</v>
      </c>
      <c r="B345" s="0" t="s">
        <v>26</v>
      </c>
      <c r="C345" s="2" t="s">
        <v>803</v>
      </c>
      <c r="D345" s="2" t="s">
        <v>374</v>
      </c>
      <c r="E345" s="3" t="s">
        <v>71</v>
      </c>
      <c r="F345" s="3" t="s">
        <v>29</v>
      </c>
      <c r="G345" s="0" t="n">
        <v>522</v>
      </c>
      <c r="H345" s="4" t="n">
        <v>66.83</v>
      </c>
      <c r="I345" s="4" t="n">
        <v>58.01</v>
      </c>
      <c r="J345" s="0" t="n">
        <v>74</v>
      </c>
      <c r="K345" s="3" t="s">
        <v>24</v>
      </c>
      <c r="L345" s="3" t="n">
        <f aca="false">IF(D345="","",IF(D345-C345&lt;0,"",D345-C345))</f>
        <v>18</v>
      </c>
      <c r="M345" s="4" t="n">
        <f aca="false">G345*I345</f>
        <v>30281.22</v>
      </c>
      <c r="N345" s="5" t="n">
        <f aca="false">IF(J345="","",J345/G345*100)</f>
        <v>14.176245210728</v>
      </c>
      <c r="O345" s="5" t="n">
        <f aca="false">(H345-I345)/H345*100</f>
        <v>13.1976657189885</v>
      </c>
      <c r="P345" s="3" t="n">
        <f aca="false">IF(OR(F345="Delivered",F345="Partially Delivered"),1,0)</f>
        <v>1</v>
      </c>
      <c r="Q345" s="3" t="n">
        <f aca="false">IF(F345="Cancelled",1,0)</f>
        <v>0</v>
      </c>
      <c r="R345" s="3" t="n">
        <f aca="false">IF(K345="Yes",1,0)</f>
        <v>1</v>
      </c>
    </row>
    <row r="346" customFormat="false" ht="15" hidden="false" customHeight="false" outlineLevel="0" collapsed="false">
      <c r="A346" s="0" t="s">
        <v>804</v>
      </c>
      <c r="B346" s="0" t="s">
        <v>26</v>
      </c>
      <c r="C346" s="2" t="s">
        <v>805</v>
      </c>
      <c r="D346" s="2" t="s">
        <v>187</v>
      </c>
      <c r="E346" s="3" t="s">
        <v>71</v>
      </c>
      <c r="F346" s="3" t="s">
        <v>29</v>
      </c>
      <c r="G346" s="0" t="n">
        <v>200</v>
      </c>
      <c r="H346" s="4" t="n">
        <v>44.16</v>
      </c>
      <c r="I346" s="4" t="n">
        <v>43.13</v>
      </c>
      <c r="J346" s="0" t="n">
        <v>21</v>
      </c>
      <c r="K346" s="3" t="s">
        <v>24</v>
      </c>
      <c r="L346" s="3" t="n">
        <f aca="false">IF(D346="","",IF(D346-C346&lt;0,"",D346-C346))</f>
        <v>9</v>
      </c>
      <c r="M346" s="4" t="n">
        <f aca="false">G346*I346</f>
        <v>8626</v>
      </c>
      <c r="N346" s="5" t="n">
        <f aca="false">IF(J346="","",J346/G346*100)</f>
        <v>10.5</v>
      </c>
      <c r="O346" s="5" t="n">
        <f aca="false">(H346-I346)/H346*100</f>
        <v>2.33242753623187</v>
      </c>
      <c r="P346" s="3" t="n">
        <f aca="false">IF(OR(F346="Delivered",F346="Partially Delivered"),1,0)</f>
        <v>1</v>
      </c>
      <c r="Q346" s="3" t="n">
        <f aca="false">IF(F346="Cancelled",1,0)</f>
        <v>0</v>
      </c>
      <c r="R346" s="3" t="n">
        <f aca="false">IF(K346="Yes",1,0)</f>
        <v>1</v>
      </c>
    </row>
    <row r="347" customFormat="false" ht="15" hidden="false" customHeight="false" outlineLevel="0" collapsed="false">
      <c r="A347" s="0" t="s">
        <v>806</v>
      </c>
      <c r="B347" s="0" t="s">
        <v>31</v>
      </c>
      <c r="C347" s="2" t="s">
        <v>807</v>
      </c>
      <c r="D347" s="2" t="s">
        <v>506</v>
      </c>
      <c r="E347" s="3" t="s">
        <v>39</v>
      </c>
      <c r="F347" s="3" t="s">
        <v>29</v>
      </c>
      <c r="G347" s="0" t="n">
        <v>1488</v>
      </c>
      <c r="H347" s="4" t="n">
        <v>22.76</v>
      </c>
      <c r="I347" s="4" t="n">
        <v>21.99</v>
      </c>
      <c r="K347" s="3" t="s">
        <v>24</v>
      </c>
      <c r="L347" s="3" t="n">
        <f aca="false">IF(D347="","",IF(D347-C347&lt;0,"",D347-C347))</f>
        <v>9</v>
      </c>
      <c r="M347" s="4" t="n">
        <f aca="false">G347*I347</f>
        <v>32721.12</v>
      </c>
      <c r="N347" s="5" t="str">
        <f aca="false">IF(J347="","",J347/G347*100)</f>
        <v/>
      </c>
      <c r="O347" s="5" t="n">
        <f aca="false">(H347-I347)/H347*100</f>
        <v>3.38312829525485</v>
      </c>
      <c r="P347" s="3" t="n">
        <f aca="false">IF(OR(F347="Delivered",F347="Partially Delivered"),1,0)</f>
        <v>1</v>
      </c>
      <c r="Q347" s="3" t="n">
        <f aca="false">IF(F347="Cancelled",1,0)</f>
        <v>0</v>
      </c>
      <c r="R347" s="3" t="n">
        <f aca="false">IF(K347="Yes",1,0)</f>
        <v>1</v>
      </c>
    </row>
    <row r="348" customFormat="false" ht="15" hidden="false" customHeight="false" outlineLevel="0" collapsed="false">
      <c r="A348" s="0" t="s">
        <v>808</v>
      </c>
      <c r="B348" s="0" t="s">
        <v>46</v>
      </c>
      <c r="C348" s="2" t="s">
        <v>110</v>
      </c>
      <c r="D348" s="2" t="s">
        <v>809</v>
      </c>
      <c r="E348" s="3" t="s">
        <v>71</v>
      </c>
      <c r="F348" s="3" t="s">
        <v>29</v>
      </c>
      <c r="G348" s="0" t="n">
        <v>1371</v>
      </c>
      <c r="H348" s="4" t="n">
        <v>87.16</v>
      </c>
      <c r="I348" s="4" t="n">
        <v>78.13</v>
      </c>
      <c r="J348" s="0" t="n">
        <v>43</v>
      </c>
      <c r="K348" s="3" t="s">
        <v>24</v>
      </c>
      <c r="L348" s="3" t="n">
        <f aca="false">IF(D348="","",IF(D348-C348&lt;0,"",D348-C348))</f>
        <v>10</v>
      </c>
      <c r="M348" s="4" t="n">
        <f aca="false">G348*I348</f>
        <v>107116.23</v>
      </c>
      <c r="N348" s="5" t="n">
        <f aca="false">IF(J348="","",J348/G348*100)</f>
        <v>3.13639679066375</v>
      </c>
      <c r="O348" s="5" t="n">
        <f aca="false">(H348-I348)/H348*100</f>
        <v>10.3602569986232</v>
      </c>
      <c r="P348" s="3" t="n">
        <f aca="false">IF(OR(F348="Delivered",F348="Partially Delivered"),1,0)</f>
        <v>1</v>
      </c>
      <c r="Q348" s="3" t="n">
        <f aca="false">IF(F348="Cancelled",1,0)</f>
        <v>0</v>
      </c>
      <c r="R348" s="3" t="n">
        <f aca="false">IF(K348="Yes",1,0)</f>
        <v>1</v>
      </c>
    </row>
    <row r="349" customFormat="false" ht="15" hidden="false" customHeight="false" outlineLevel="0" collapsed="false">
      <c r="A349" s="0" t="s">
        <v>810</v>
      </c>
      <c r="B349" s="0" t="s">
        <v>19</v>
      </c>
      <c r="C349" s="2" t="s">
        <v>664</v>
      </c>
      <c r="D349" s="2"/>
      <c r="E349" s="3" t="s">
        <v>22</v>
      </c>
      <c r="F349" s="3" t="s">
        <v>29</v>
      </c>
      <c r="G349" s="0" t="n">
        <v>1684</v>
      </c>
      <c r="H349" s="4" t="n">
        <v>73.05</v>
      </c>
      <c r="I349" s="4" t="n">
        <v>62.53</v>
      </c>
      <c r="K349" s="3" t="s">
        <v>24</v>
      </c>
      <c r="L349" s="0" t="str">
        <f aca="false">IF(D349="","",IF(D349-C349&lt;0,"",D349-C349))</f>
        <v/>
      </c>
      <c r="M349" s="4" t="n">
        <f aca="false">G349*I349</f>
        <v>105300.52</v>
      </c>
      <c r="N349" s="5" t="str">
        <f aca="false">IF(J349="","",J349/G349*100)</f>
        <v/>
      </c>
      <c r="O349" s="5" t="n">
        <f aca="false">(H349-I349)/H349*100</f>
        <v>14.4010951403149</v>
      </c>
      <c r="P349" s="3" t="n">
        <f aca="false">IF(OR(F349="Delivered",F349="Partially Delivered"),1,0)</f>
        <v>1</v>
      </c>
      <c r="Q349" s="3" t="n">
        <f aca="false">IF(F349="Cancelled",1,0)</f>
        <v>0</v>
      </c>
      <c r="R349" s="3" t="n">
        <f aca="false">IF(K349="Yes",1,0)</f>
        <v>1</v>
      </c>
    </row>
    <row r="350" customFormat="false" ht="15" hidden="false" customHeight="false" outlineLevel="0" collapsed="false">
      <c r="A350" s="0" t="s">
        <v>811</v>
      </c>
      <c r="B350" s="0" t="s">
        <v>46</v>
      </c>
      <c r="C350" s="2" t="s">
        <v>356</v>
      </c>
      <c r="D350" s="2" t="s">
        <v>118</v>
      </c>
      <c r="E350" s="3" t="s">
        <v>71</v>
      </c>
      <c r="F350" s="3" t="s">
        <v>29</v>
      </c>
      <c r="G350" s="0" t="n">
        <v>312</v>
      </c>
      <c r="H350" s="4" t="n">
        <v>63.52</v>
      </c>
      <c r="I350" s="4" t="n">
        <v>58.09</v>
      </c>
      <c r="K350" s="3" t="s">
        <v>24</v>
      </c>
      <c r="L350" s="3" t="n">
        <f aca="false">IF(D350="","",IF(D350-C350&lt;0,"",D350-C350))</f>
        <v>6</v>
      </c>
      <c r="M350" s="4" t="n">
        <f aca="false">G350*I350</f>
        <v>18124.08</v>
      </c>
      <c r="N350" s="5" t="str">
        <f aca="false">IF(J350="","",J350/G350*100)</f>
        <v/>
      </c>
      <c r="O350" s="5" t="n">
        <f aca="false">(H350-I350)/H350*100</f>
        <v>8.54848866498741</v>
      </c>
      <c r="P350" s="3" t="n">
        <f aca="false">IF(OR(F350="Delivered",F350="Partially Delivered"),1,0)</f>
        <v>1</v>
      </c>
      <c r="Q350" s="3" t="n">
        <f aca="false">IF(F350="Cancelled",1,0)</f>
        <v>0</v>
      </c>
      <c r="R350" s="3" t="n">
        <f aca="false">IF(K350="Yes",1,0)</f>
        <v>1</v>
      </c>
    </row>
    <row r="351" customFormat="false" ht="15" hidden="false" customHeight="false" outlineLevel="0" collapsed="false">
      <c r="A351" s="0" t="s">
        <v>812</v>
      </c>
      <c r="B351" s="0" t="s">
        <v>19</v>
      </c>
      <c r="C351" s="2" t="s">
        <v>813</v>
      </c>
      <c r="D351" s="2" t="s">
        <v>356</v>
      </c>
      <c r="E351" s="3" t="s">
        <v>39</v>
      </c>
      <c r="F351" s="3" t="s">
        <v>23</v>
      </c>
      <c r="G351" s="0" t="n">
        <v>1837</v>
      </c>
      <c r="H351" s="4" t="n">
        <v>99.04</v>
      </c>
      <c r="I351" s="4" t="n">
        <v>86.51</v>
      </c>
      <c r="J351" s="0" t="n">
        <v>39</v>
      </c>
      <c r="K351" s="3" t="s">
        <v>24</v>
      </c>
      <c r="L351" s="3" t="n">
        <f aca="false">IF(D351="","",IF(D351-C351&lt;0,"",D351-C351))</f>
        <v>19</v>
      </c>
      <c r="M351" s="4" t="n">
        <f aca="false">G351*I351</f>
        <v>158918.87</v>
      </c>
      <c r="N351" s="5" t="n">
        <f aca="false">IF(J351="","",J351/G351*100)</f>
        <v>2.12302667392488</v>
      </c>
      <c r="O351" s="5" t="n">
        <f aca="false">(H351-I351)/H351*100</f>
        <v>12.6514539579968</v>
      </c>
      <c r="P351" s="3" t="n">
        <f aca="false">IF(OR(F351="Delivered",F351="Partially Delivered"),1,0)</f>
        <v>0</v>
      </c>
      <c r="Q351" s="3" t="n">
        <f aca="false">IF(F351="Cancelled",1,0)</f>
        <v>1</v>
      </c>
      <c r="R351" s="3" t="n">
        <f aca="false">IF(K351="Yes",1,0)</f>
        <v>1</v>
      </c>
    </row>
    <row r="352" customFormat="false" ht="15" hidden="false" customHeight="false" outlineLevel="0" collapsed="false">
      <c r="A352" s="0" t="s">
        <v>814</v>
      </c>
      <c r="B352" s="0" t="s">
        <v>36</v>
      </c>
      <c r="C352" s="2" t="s">
        <v>815</v>
      </c>
      <c r="D352" s="2" t="s">
        <v>778</v>
      </c>
      <c r="E352" s="3" t="s">
        <v>34</v>
      </c>
      <c r="F352" s="3" t="s">
        <v>29</v>
      </c>
      <c r="G352" s="0" t="n">
        <v>193</v>
      </c>
      <c r="H352" s="4" t="n">
        <v>87.86</v>
      </c>
      <c r="I352" s="4" t="n">
        <v>81.74</v>
      </c>
      <c r="J352" s="0" t="n">
        <v>21</v>
      </c>
      <c r="K352" s="3" t="s">
        <v>24</v>
      </c>
      <c r="L352" s="3" t="n">
        <f aca="false">IF(D352="","",IF(D352-C352&lt;0,"",D352-C352))</f>
        <v>3</v>
      </c>
      <c r="M352" s="4" t="n">
        <f aca="false">G352*I352</f>
        <v>15775.82</v>
      </c>
      <c r="N352" s="5" t="n">
        <f aca="false">IF(J352="","",J352/G352*100)</f>
        <v>10.880829015544</v>
      </c>
      <c r="O352" s="5" t="n">
        <f aca="false">(H352-I352)/H352*100</f>
        <v>6.96562713407695</v>
      </c>
      <c r="P352" s="3" t="n">
        <f aca="false">IF(OR(F352="Delivered",F352="Partially Delivered"),1,0)</f>
        <v>1</v>
      </c>
      <c r="Q352" s="3" t="n">
        <f aca="false">IF(F352="Cancelled",1,0)</f>
        <v>0</v>
      </c>
      <c r="R352" s="3" t="n">
        <f aca="false">IF(K352="Yes",1,0)</f>
        <v>1</v>
      </c>
    </row>
    <row r="353" customFormat="false" ht="15" hidden="false" customHeight="false" outlineLevel="0" collapsed="false">
      <c r="A353" s="0" t="s">
        <v>816</v>
      </c>
      <c r="B353" s="0" t="s">
        <v>36</v>
      </c>
      <c r="C353" s="2" t="s">
        <v>301</v>
      </c>
      <c r="D353" s="2" t="s">
        <v>457</v>
      </c>
      <c r="E353" s="3" t="s">
        <v>71</v>
      </c>
      <c r="F353" s="3" t="s">
        <v>29</v>
      </c>
      <c r="G353" s="0" t="n">
        <v>395</v>
      </c>
      <c r="H353" s="4" t="n">
        <v>24.83</v>
      </c>
      <c r="I353" s="4" t="n">
        <v>23.96</v>
      </c>
      <c r="J353" s="0" t="n">
        <v>31</v>
      </c>
      <c r="K353" s="3" t="s">
        <v>24</v>
      </c>
      <c r="L353" s="3" t="n">
        <f aca="false">IF(D353="","",IF(D353-C353&lt;0,"",D353-C353))</f>
        <v>1</v>
      </c>
      <c r="M353" s="4" t="n">
        <f aca="false">G353*I353</f>
        <v>9464.2</v>
      </c>
      <c r="N353" s="5" t="n">
        <f aca="false">IF(J353="","",J353/G353*100)</f>
        <v>7.84810126582279</v>
      </c>
      <c r="O353" s="5" t="n">
        <f aca="false">(H353-I353)/H353*100</f>
        <v>3.50382601691501</v>
      </c>
      <c r="P353" s="3" t="n">
        <f aca="false">IF(OR(F353="Delivered",F353="Partially Delivered"),1,0)</f>
        <v>1</v>
      </c>
      <c r="Q353" s="3" t="n">
        <f aca="false">IF(F353="Cancelled",1,0)</f>
        <v>0</v>
      </c>
      <c r="R353" s="3" t="n">
        <f aca="false">IF(K353="Yes",1,0)</f>
        <v>1</v>
      </c>
    </row>
    <row r="354" customFormat="false" ht="15" hidden="false" customHeight="false" outlineLevel="0" collapsed="false">
      <c r="A354" s="0" t="s">
        <v>817</v>
      </c>
      <c r="B354" s="0" t="s">
        <v>46</v>
      </c>
      <c r="C354" s="2" t="s">
        <v>818</v>
      </c>
      <c r="D354" s="2" t="s">
        <v>120</v>
      </c>
      <c r="E354" s="3" t="s">
        <v>71</v>
      </c>
      <c r="F354" s="3" t="s">
        <v>23</v>
      </c>
      <c r="G354" s="0" t="n">
        <v>673</v>
      </c>
      <c r="H354" s="4" t="n">
        <v>39.58</v>
      </c>
      <c r="I354" s="4" t="n">
        <v>35.83</v>
      </c>
      <c r="J354" s="0" t="n">
        <v>25</v>
      </c>
      <c r="K354" s="3" t="s">
        <v>24</v>
      </c>
      <c r="L354" s="3" t="n">
        <f aca="false">IF(D354="","",IF(D354-C354&lt;0,"",D354-C354))</f>
        <v>17</v>
      </c>
      <c r="M354" s="4" t="n">
        <f aca="false">G354*I354</f>
        <v>24113.59</v>
      </c>
      <c r="N354" s="5" t="n">
        <f aca="false">IF(J354="","",J354/G354*100)</f>
        <v>3.7147102526003</v>
      </c>
      <c r="O354" s="5" t="n">
        <f aca="false">(H354-I354)/H354*100</f>
        <v>9.4744820616473</v>
      </c>
      <c r="P354" s="3" t="n">
        <f aca="false">IF(OR(F354="Delivered",F354="Partially Delivered"),1,0)</f>
        <v>0</v>
      </c>
      <c r="Q354" s="3" t="n">
        <f aca="false">IF(F354="Cancelled",1,0)</f>
        <v>1</v>
      </c>
      <c r="R354" s="3" t="n">
        <f aca="false">IF(K354="Yes",1,0)</f>
        <v>1</v>
      </c>
    </row>
    <row r="355" customFormat="false" ht="15" hidden="false" customHeight="false" outlineLevel="0" collapsed="false">
      <c r="A355" s="0" t="s">
        <v>819</v>
      </c>
      <c r="B355" s="0" t="s">
        <v>26</v>
      </c>
      <c r="C355" s="2" t="s">
        <v>639</v>
      </c>
      <c r="D355" s="2" t="s">
        <v>81</v>
      </c>
      <c r="E355" s="3" t="s">
        <v>22</v>
      </c>
      <c r="F355" s="3" t="s">
        <v>23</v>
      </c>
      <c r="G355" s="0" t="n">
        <v>1066</v>
      </c>
      <c r="H355" s="4" t="n">
        <v>33.33</v>
      </c>
      <c r="I355" s="4" t="n">
        <v>28.47</v>
      </c>
      <c r="J355" s="0" t="n">
        <v>162</v>
      </c>
      <c r="K355" s="3" t="s">
        <v>44</v>
      </c>
      <c r="L355" s="3" t="n">
        <f aca="false">IF(D355="","",IF(D355-C355&lt;0,"",D355-C355))</f>
        <v>14</v>
      </c>
      <c r="M355" s="4" t="n">
        <f aca="false">G355*I355</f>
        <v>30349.02</v>
      </c>
      <c r="N355" s="5" t="n">
        <f aca="false">IF(J355="","",J355/G355*100)</f>
        <v>15.1969981238274</v>
      </c>
      <c r="O355" s="5" t="n">
        <f aca="false">(H355-I355)/H355*100</f>
        <v>14.5814581458146</v>
      </c>
      <c r="P355" s="3" t="n">
        <f aca="false">IF(OR(F355="Delivered",F355="Partially Delivered"),1,0)</f>
        <v>0</v>
      </c>
      <c r="Q355" s="3" t="n">
        <f aca="false">IF(F355="Cancelled",1,0)</f>
        <v>1</v>
      </c>
      <c r="R355" s="3" t="n">
        <f aca="false">IF(K355="Yes",1,0)</f>
        <v>0</v>
      </c>
    </row>
    <row r="356" customFormat="false" ht="15" hidden="false" customHeight="false" outlineLevel="0" collapsed="false">
      <c r="A356" s="0" t="s">
        <v>820</v>
      </c>
      <c r="B356" s="0" t="s">
        <v>31</v>
      </c>
      <c r="C356" s="2" t="s">
        <v>614</v>
      </c>
      <c r="D356" s="2" t="s">
        <v>787</v>
      </c>
      <c r="E356" s="3" t="s">
        <v>39</v>
      </c>
      <c r="F356" s="3" t="s">
        <v>29</v>
      </c>
      <c r="G356" s="0" t="n">
        <v>1645</v>
      </c>
      <c r="H356" s="4" t="n">
        <v>85.42</v>
      </c>
      <c r="I356" s="4" t="n">
        <v>80.78</v>
      </c>
      <c r="J356" s="0" t="n">
        <v>73</v>
      </c>
      <c r="K356" s="3" t="s">
        <v>44</v>
      </c>
      <c r="L356" s="3" t="n">
        <f aca="false">IF(D356="","",IF(D356-C356&lt;0,"",D356-C356))</f>
        <v>6</v>
      </c>
      <c r="M356" s="4" t="n">
        <f aca="false">G356*I356</f>
        <v>132883.1</v>
      </c>
      <c r="N356" s="5" t="n">
        <f aca="false">IF(J356="","",J356/G356*100)</f>
        <v>4.43768996960486</v>
      </c>
      <c r="O356" s="5" t="n">
        <f aca="false">(H356-I356)/H356*100</f>
        <v>5.43198314212128</v>
      </c>
      <c r="P356" s="3" t="n">
        <f aca="false">IF(OR(F356="Delivered",F356="Partially Delivered"),1,0)</f>
        <v>1</v>
      </c>
      <c r="Q356" s="3" t="n">
        <f aca="false">IF(F356="Cancelled",1,0)</f>
        <v>0</v>
      </c>
      <c r="R356" s="3" t="n">
        <f aca="false">IF(K356="Yes",1,0)</f>
        <v>0</v>
      </c>
    </row>
    <row r="357" customFormat="false" ht="15" hidden="false" customHeight="false" outlineLevel="0" collapsed="false">
      <c r="A357" s="0" t="s">
        <v>821</v>
      </c>
      <c r="B357" s="0" t="s">
        <v>19</v>
      </c>
      <c r="C357" s="2" t="s">
        <v>764</v>
      </c>
      <c r="D357" s="2" t="s">
        <v>293</v>
      </c>
      <c r="E357" s="3" t="s">
        <v>71</v>
      </c>
      <c r="F357" s="3" t="s">
        <v>29</v>
      </c>
      <c r="G357" s="0" t="n">
        <v>930</v>
      </c>
      <c r="H357" s="4" t="n">
        <v>13.67</v>
      </c>
      <c r="I357" s="4" t="n">
        <v>11.95</v>
      </c>
      <c r="J357" s="0" t="n">
        <v>16</v>
      </c>
      <c r="K357" s="3" t="s">
        <v>24</v>
      </c>
      <c r="L357" s="3" t="n">
        <f aca="false">IF(D357="","",IF(D357-C357&lt;0,"",D357-C357))</f>
        <v>11</v>
      </c>
      <c r="M357" s="4" t="n">
        <f aca="false">G357*I357</f>
        <v>11113.5</v>
      </c>
      <c r="N357" s="5" t="n">
        <f aca="false">IF(J357="","",J357/G357*100)</f>
        <v>1.72043010752688</v>
      </c>
      <c r="O357" s="5" t="n">
        <f aca="false">(H357-I357)/H357*100</f>
        <v>12.5822970007315</v>
      </c>
      <c r="P357" s="3" t="n">
        <f aca="false">IF(OR(F357="Delivered",F357="Partially Delivered"),1,0)</f>
        <v>1</v>
      </c>
      <c r="Q357" s="3" t="n">
        <f aca="false">IF(F357="Cancelled",1,0)</f>
        <v>0</v>
      </c>
      <c r="R357" s="3" t="n">
        <f aca="false">IF(K357="Yes",1,0)</f>
        <v>1</v>
      </c>
    </row>
    <row r="358" customFormat="false" ht="15" hidden="false" customHeight="false" outlineLevel="0" collapsed="false">
      <c r="A358" s="0" t="s">
        <v>822</v>
      </c>
      <c r="B358" s="0" t="s">
        <v>19</v>
      </c>
      <c r="C358" s="2" t="s">
        <v>823</v>
      </c>
      <c r="D358" s="2" t="s">
        <v>341</v>
      </c>
      <c r="E358" s="3" t="s">
        <v>22</v>
      </c>
      <c r="F358" s="3" t="s">
        <v>29</v>
      </c>
      <c r="G358" s="0" t="n">
        <v>51</v>
      </c>
      <c r="H358" s="4" t="n">
        <v>63.74</v>
      </c>
      <c r="I358" s="4" t="n">
        <v>56.1</v>
      </c>
      <c r="J358" s="0" t="n">
        <v>0</v>
      </c>
      <c r="K358" s="3" t="s">
        <v>24</v>
      </c>
      <c r="L358" s="3" t="n">
        <f aca="false">IF(D358="","",IF(D358-C358&lt;0,"",D358-C358))</f>
        <v>19</v>
      </c>
      <c r="M358" s="4" t="n">
        <f aca="false">G358*I358</f>
        <v>2861.1</v>
      </c>
      <c r="N358" s="5" t="n">
        <f aca="false">IF(J358="","",J358/G358*100)</f>
        <v>0</v>
      </c>
      <c r="O358" s="5" t="n">
        <f aca="false">(H358-I358)/H358*100</f>
        <v>11.9861939127706</v>
      </c>
      <c r="P358" s="3" t="n">
        <f aca="false">IF(OR(F358="Delivered",F358="Partially Delivered"),1,0)</f>
        <v>1</v>
      </c>
      <c r="Q358" s="3" t="n">
        <f aca="false">IF(F358="Cancelled",1,0)</f>
        <v>0</v>
      </c>
      <c r="R358" s="3" t="n">
        <f aca="false">IF(K358="Yes",1,0)</f>
        <v>1</v>
      </c>
    </row>
    <row r="359" customFormat="false" ht="15" hidden="false" customHeight="false" outlineLevel="0" collapsed="false">
      <c r="A359" s="0" t="s">
        <v>824</v>
      </c>
      <c r="B359" s="0" t="s">
        <v>31</v>
      </c>
      <c r="C359" s="2" t="s">
        <v>336</v>
      </c>
      <c r="D359" s="2" t="s">
        <v>248</v>
      </c>
      <c r="E359" s="3" t="s">
        <v>39</v>
      </c>
      <c r="F359" s="3" t="s">
        <v>29</v>
      </c>
      <c r="G359" s="0" t="n">
        <v>946</v>
      </c>
      <c r="H359" s="4" t="n">
        <v>81.77</v>
      </c>
      <c r="I359" s="4" t="n">
        <v>71.65</v>
      </c>
      <c r="J359" s="0" t="n">
        <v>55</v>
      </c>
      <c r="K359" s="3" t="s">
        <v>24</v>
      </c>
      <c r="L359" s="3" t="n">
        <f aca="false">IF(D359="","",IF(D359-C359&lt;0,"",D359-C359))</f>
        <v>2</v>
      </c>
      <c r="M359" s="4" t="n">
        <f aca="false">G359*I359</f>
        <v>67780.9</v>
      </c>
      <c r="N359" s="5" t="n">
        <f aca="false">IF(J359="","",J359/G359*100)</f>
        <v>5.81395348837209</v>
      </c>
      <c r="O359" s="5" t="n">
        <f aca="false">(H359-I359)/H359*100</f>
        <v>12.3761770820594</v>
      </c>
      <c r="P359" s="3" t="n">
        <f aca="false">IF(OR(F359="Delivered",F359="Partially Delivered"),1,0)</f>
        <v>1</v>
      </c>
      <c r="Q359" s="3" t="n">
        <f aca="false">IF(F359="Cancelled",1,0)</f>
        <v>0</v>
      </c>
      <c r="R359" s="3" t="n">
        <f aca="false">IF(K359="Yes",1,0)</f>
        <v>1</v>
      </c>
    </row>
    <row r="360" customFormat="false" ht="15" hidden="false" customHeight="false" outlineLevel="0" collapsed="false">
      <c r="A360" s="0" t="s">
        <v>825</v>
      </c>
      <c r="B360" s="0" t="s">
        <v>46</v>
      </c>
      <c r="C360" s="2" t="s">
        <v>327</v>
      </c>
      <c r="D360" s="2" t="s">
        <v>654</v>
      </c>
      <c r="E360" s="3" t="s">
        <v>43</v>
      </c>
      <c r="F360" s="3" t="s">
        <v>58</v>
      </c>
      <c r="G360" s="0" t="n">
        <v>1377</v>
      </c>
      <c r="H360" s="4" t="n">
        <v>94.69</v>
      </c>
      <c r="I360" s="4" t="n">
        <v>84.2</v>
      </c>
      <c r="K360" s="3" t="s">
        <v>24</v>
      </c>
      <c r="L360" s="3" t="n">
        <f aca="false">IF(D360="","",IF(D360-C360&lt;0,"",D360-C360))</f>
        <v>20</v>
      </c>
      <c r="M360" s="4" t="n">
        <f aca="false">G360*I360</f>
        <v>115943.4</v>
      </c>
      <c r="N360" s="5" t="str">
        <f aca="false">IF(J360="","",J360/G360*100)</f>
        <v/>
      </c>
      <c r="O360" s="5" t="n">
        <f aca="false">(H360-I360)/H360*100</f>
        <v>11.0782553595945</v>
      </c>
      <c r="P360" s="3" t="n">
        <f aca="false">IF(OR(F360="Delivered",F360="Partially Delivered"),1,0)</f>
        <v>1</v>
      </c>
      <c r="Q360" s="3" t="n">
        <f aca="false">IF(F360="Cancelled",1,0)</f>
        <v>0</v>
      </c>
      <c r="R360" s="3" t="n">
        <f aca="false">IF(K360="Yes",1,0)</f>
        <v>1</v>
      </c>
    </row>
    <row r="361" customFormat="false" ht="15" hidden="false" customHeight="false" outlineLevel="0" collapsed="false">
      <c r="A361" s="0" t="s">
        <v>826</v>
      </c>
      <c r="B361" s="0" t="s">
        <v>46</v>
      </c>
      <c r="C361" s="2" t="s">
        <v>827</v>
      </c>
      <c r="D361" s="2" t="s">
        <v>828</v>
      </c>
      <c r="E361" s="3" t="s">
        <v>39</v>
      </c>
      <c r="F361" s="3" t="s">
        <v>23</v>
      </c>
      <c r="G361" s="0" t="n">
        <v>303</v>
      </c>
      <c r="H361" s="4" t="n">
        <v>41.6</v>
      </c>
      <c r="I361" s="4" t="n">
        <v>40.51</v>
      </c>
      <c r="J361" s="0" t="n">
        <v>11</v>
      </c>
      <c r="K361" s="3" t="s">
        <v>24</v>
      </c>
      <c r="L361" s="3" t="n">
        <f aca="false">IF(D361="","",IF(D361-C361&lt;0,"",D361-C361))</f>
        <v>3</v>
      </c>
      <c r="M361" s="4" t="n">
        <f aca="false">G361*I361</f>
        <v>12274.53</v>
      </c>
      <c r="N361" s="5" t="n">
        <f aca="false">IF(J361="","",J361/G361*100)</f>
        <v>3.63036303630363</v>
      </c>
      <c r="O361" s="5" t="n">
        <f aca="false">(H361-I361)/H361*100</f>
        <v>2.62019230769232</v>
      </c>
      <c r="P361" s="3" t="n">
        <f aca="false">IF(OR(F361="Delivered",F361="Partially Delivered"),1,0)</f>
        <v>0</v>
      </c>
      <c r="Q361" s="3" t="n">
        <f aca="false">IF(F361="Cancelled",1,0)</f>
        <v>1</v>
      </c>
      <c r="R361" s="3" t="n">
        <f aca="false">IF(K361="Yes",1,0)</f>
        <v>1</v>
      </c>
    </row>
    <row r="362" customFormat="false" ht="15" hidden="false" customHeight="false" outlineLevel="0" collapsed="false">
      <c r="A362" s="0" t="s">
        <v>829</v>
      </c>
      <c r="B362" s="0" t="s">
        <v>19</v>
      </c>
      <c r="C362" s="2" t="s">
        <v>551</v>
      </c>
      <c r="D362" s="2" t="s">
        <v>291</v>
      </c>
      <c r="E362" s="3" t="s">
        <v>43</v>
      </c>
      <c r="F362" s="3" t="s">
        <v>29</v>
      </c>
      <c r="G362" s="0" t="n">
        <v>1725</v>
      </c>
      <c r="H362" s="4" t="n">
        <v>93.14</v>
      </c>
      <c r="I362" s="4" t="n">
        <v>79.62</v>
      </c>
      <c r="J362" s="0" t="n">
        <v>24</v>
      </c>
      <c r="K362" s="3" t="s">
        <v>24</v>
      </c>
      <c r="L362" s="3" t="n">
        <f aca="false">IF(D362="","",IF(D362-C362&lt;0,"",D362-C362))</f>
        <v>14</v>
      </c>
      <c r="M362" s="4" t="n">
        <f aca="false">G362*I362</f>
        <v>137344.5</v>
      </c>
      <c r="N362" s="5" t="n">
        <f aca="false">IF(J362="","",J362/G362*100)</f>
        <v>1.39130434782609</v>
      </c>
      <c r="O362" s="5" t="n">
        <f aca="false">(H362-I362)/H362*100</f>
        <v>14.5157826927206</v>
      </c>
      <c r="P362" s="3" t="n">
        <f aca="false">IF(OR(F362="Delivered",F362="Partially Delivered"),1,0)</f>
        <v>1</v>
      </c>
      <c r="Q362" s="3" t="n">
        <f aca="false">IF(F362="Cancelled",1,0)</f>
        <v>0</v>
      </c>
      <c r="R362" s="3" t="n">
        <f aca="false">IF(K362="Yes",1,0)</f>
        <v>1</v>
      </c>
    </row>
    <row r="363" customFormat="false" ht="15" hidden="false" customHeight="false" outlineLevel="0" collapsed="false">
      <c r="A363" s="0" t="s">
        <v>830</v>
      </c>
      <c r="B363" s="0" t="s">
        <v>36</v>
      </c>
      <c r="C363" s="2" t="s">
        <v>262</v>
      </c>
      <c r="D363" s="2" t="s">
        <v>424</v>
      </c>
      <c r="E363" s="3" t="s">
        <v>43</v>
      </c>
      <c r="F363" s="3" t="s">
        <v>23</v>
      </c>
      <c r="G363" s="0" t="n">
        <v>502</v>
      </c>
      <c r="H363" s="4" t="n">
        <v>22.05</v>
      </c>
      <c r="I363" s="4" t="n">
        <v>20.65</v>
      </c>
      <c r="J363" s="0" t="n">
        <v>50</v>
      </c>
      <c r="K363" s="3" t="s">
        <v>44</v>
      </c>
      <c r="L363" s="3" t="n">
        <f aca="false">IF(D363="","",IF(D363-C363&lt;0,"",D363-C363))</f>
        <v>15</v>
      </c>
      <c r="M363" s="4" t="n">
        <f aca="false">G363*I363</f>
        <v>10366.3</v>
      </c>
      <c r="N363" s="5" t="n">
        <f aca="false">IF(J363="","",J363/G363*100)</f>
        <v>9.9601593625498</v>
      </c>
      <c r="O363" s="5" t="n">
        <f aca="false">(H363-I363)/H363*100</f>
        <v>6.34920634920636</v>
      </c>
      <c r="P363" s="3" t="n">
        <f aca="false">IF(OR(F363="Delivered",F363="Partially Delivered"),1,0)</f>
        <v>0</v>
      </c>
      <c r="Q363" s="3" t="n">
        <f aca="false">IF(F363="Cancelled",1,0)</f>
        <v>1</v>
      </c>
      <c r="R363" s="3" t="n">
        <f aca="false">IF(K363="Yes",1,0)</f>
        <v>0</v>
      </c>
    </row>
    <row r="364" customFormat="false" ht="15" hidden="false" customHeight="false" outlineLevel="0" collapsed="false">
      <c r="A364" s="0" t="s">
        <v>831</v>
      </c>
      <c r="B364" s="0" t="s">
        <v>31</v>
      </c>
      <c r="C364" s="2" t="s">
        <v>832</v>
      </c>
      <c r="D364" s="2" t="s">
        <v>495</v>
      </c>
      <c r="E364" s="3" t="s">
        <v>39</v>
      </c>
      <c r="F364" s="3" t="s">
        <v>29</v>
      </c>
      <c r="G364" s="0" t="n">
        <v>1110</v>
      </c>
      <c r="H364" s="4" t="n">
        <v>90.49</v>
      </c>
      <c r="I364" s="4" t="n">
        <v>80.03</v>
      </c>
      <c r="J364" s="0" t="n">
        <v>61</v>
      </c>
      <c r="K364" s="3" t="s">
        <v>24</v>
      </c>
      <c r="L364" s="3" t="n">
        <f aca="false">IF(D364="","",IF(D364-C364&lt;0,"",D364-C364))</f>
        <v>7</v>
      </c>
      <c r="M364" s="4" t="n">
        <f aca="false">G364*I364</f>
        <v>88833.3</v>
      </c>
      <c r="N364" s="5" t="n">
        <f aca="false">IF(J364="","",J364/G364*100)</f>
        <v>5.4954954954955</v>
      </c>
      <c r="O364" s="5" t="n">
        <f aca="false">(H364-I364)/H364*100</f>
        <v>11.5592883191513</v>
      </c>
      <c r="P364" s="3" t="n">
        <f aca="false">IF(OR(F364="Delivered",F364="Partially Delivered"),1,0)</f>
        <v>1</v>
      </c>
      <c r="Q364" s="3" t="n">
        <f aca="false">IF(F364="Cancelled",1,0)</f>
        <v>0</v>
      </c>
      <c r="R364" s="3" t="n">
        <f aca="false">IF(K364="Yes",1,0)</f>
        <v>1</v>
      </c>
    </row>
    <row r="365" customFormat="false" ht="15" hidden="false" customHeight="false" outlineLevel="0" collapsed="false">
      <c r="A365" s="0" t="s">
        <v>833</v>
      </c>
      <c r="B365" s="0" t="s">
        <v>19</v>
      </c>
      <c r="C365" s="2" t="s">
        <v>834</v>
      </c>
      <c r="D365" s="2" t="s">
        <v>835</v>
      </c>
      <c r="E365" s="3" t="s">
        <v>39</v>
      </c>
      <c r="F365" s="3" t="s">
        <v>29</v>
      </c>
      <c r="G365" s="0" t="n">
        <v>1233</v>
      </c>
      <c r="H365" s="4" t="n">
        <v>23.08</v>
      </c>
      <c r="I365" s="4" t="n">
        <v>20.57</v>
      </c>
      <c r="K365" s="3" t="s">
        <v>24</v>
      </c>
      <c r="L365" s="3" t="n">
        <f aca="false">IF(D365="","",IF(D365-C365&lt;0,"",D365-C365))</f>
        <v>4</v>
      </c>
      <c r="M365" s="4" t="n">
        <f aca="false">G365*I365</f>
        <v>25362.81</v>
      </c>
      <c r="N365" s="5" t="str">
        <f aca="false">IF(J365="","",J365/G365*100)</f>
        <v/>
      </c>
      <c r="O365" s="5" t="n">
        <f aca="false">(H365-I365)/H365*100</f>
        <v>10.8752166377816</v>
      </c>
      <c r="P365" s="3" t="n">
        <f aca="false">IF(OR(F365="Delivered",F365="Partially Delivered"),1,0)</f>
        <v>1</v>
      </c>
      <c r="Q365" s="3" t="n">
        <f aca="false">IF(F365="Cancelled",1,0)</f>
        <v>0</v>
      </c>
      <c r="R365" s="3" t="n">
        <f aca="false">IF(K365="Yes",1,0)</f>
        <v>1</v>
      </c>
    </row>
    <row r="366" customFormat="false" ht="15" hidden="false" customHeight="false" outlineLevel="0" collapsed="false">
      <c r="A366" s="0" t="s">
        <v>836</v>
      </c>
      <c r="B366" s="0" t="s">
        <v>36</v>
      </c>
      <c r="C366" s="2" t="s">
        <v>301</v>
      </c>
      <c r="D366" s="2" t="s">
        <v>837</v>
      </c>
      <c r="E366" s="3" t="s">
        <v>22</v>
      </c>
      <c r="F366" s="3" t="s">
        <v>29</v>
      </c>
      <c r="G366" s="0" t="n">
        <v>1064</v>
      </c>
      <c r="H366" s="4" t="n">
        <v>48.04</v>
      </c>
      <c r="I366" s="4" t="n">
        <v>43.6</v>
      </c>
      <c r="J366" s="0" t="n">
        <v>94</v>
      </c>
      <c r="K366" s="3" t="s">
        <v>24</v>
      </c>
      <c r="L366" s="3" t="n">
        <f aca="false">IF(D366="","",IF(D366-C366&lt;0,"",D366-C366))</f>
        <v>4</v>
      </c>
      <c r="M366" s="4" t="n">
        <f aca="false">G366*I366</f>
        <v>46390.4</v>
      </c>
      <c r="N366" s="5" t="n">
        <f aca="false">IF(J366="","",J366/G366*100)</f>
        <v>8.83458646616541</v>
      </c>
      <c r="O366" s="5" t="n">
        <f aca="false">(H366-I366)/H366*100</f>
        <v>9.24229808492922</v>
      </c>
      <c r="P366" s="3" t="n">
        <f aca="false">IF(OR(F366="Delivered",F366="Partially Delivered"),1,0)</f>
        <v>1</v>
      </c>
      <c r="Q366" s="3" t="n">
        <f aca="false">IF(F366="Cancelled",1,0)</f>
        <v>0</v>
      </c>
      <c r="R366" s="3" t="n">
        <f aca="false">IF(K366="Yes",1,0)</f>
        <v>1</v>
      </c>
    </row>
    <row r="367" customFormat="false" ht="15" hidden="false" customHeight="false" outlineLevel="0" collapsed="false">
      <c r="A367" s="0" t="s">
        <v>838</v>
      </c>
      <c r="B367" s="0" t="s">
        <v>46</v>
      </c>
      <c r="C367" s="2" t="s">
        <v>671</v>
      </c>
      <c r="D367" s="2" t="s">
        <v>372</v>
      </c>
      <c r="E367" s="3" t="s">
        <v>39</v>
      </c>
      <c r="F367" s="3" t="s">
        <v>58</v>
      </c>
      <c r="G367" s="0" t="n">
        <v>58</v>
      </c>
      <c r="H367" s="4" t="n">
        <v>82.57</v>
      </c>
      <c r="I367" s="4" t="n">
        <v>76.55</v>
      </c>
      <c r="K367" s="3" t="s">
        <v>24</v>
      </c>
      <c r="L367" s="3" t="n">
        <f aca="false">IF(D367="","",IF(D367-C367&lt;0,"",D367-C367))</f>
        <v>19</v>
      </c>
      <c r="M367" s="4" t="n">
        <f aca="false">G367*I367</f>
        <v>4439.9</v>
      </c>
      <c r="N367" s="5" t="str">
        <f aca="false">IF(J367="","",J367/G367*100)</f>
        <v/>
      </c>
      <c r="O367" s="5" t="n">
        <f aca="false">(H367-I367)/H367*100</f>
        <v>7.29078357757054</v>
      </c>
      <c r="P367" s="3" t="n">
        <f aca="false">IF(OR(F367="Delivered",F367="Partially Delivered"),1,0)</f>
        <v>1</v>
      </c>
      <c r="Q367" s="3" t="n">
        <f aca="false">IF(F367="Cancelled",1,0)</f>
        <v>0</v>
      </c>
      <c r="R367" s="3" t="n">
        <f aca="false">IF(K367="Yes",1,0)</f>
        <v>1</v>
      </c>
    </row>
    <row r="368" customFormat="false" ht="15" hidden="false" customHeight="false" outlineLevel="0" collapsed="false">
      <c r="A368" s="0" t="s">
        <v>839</v>
      </c>
      <c r="B368" s="0" t="s">
        <v>36</v>
      </c>
      <c r="C368" s="2" t="s">
        <v>840</v>
      </c>
      <c r="D368" s="2" t="s">
        <v>489</v>
      </c>
      <c r="E368" s="3" t="s">
        <v>34</v>
      </c>
      <c r="F368" s="3" t="s">
        <v>29</v>
      </c>
      <c r="G368" s="0" t="n">
        <v>1306</v>
      </c>
      <c r="H368" s="4" t="n">
        <v>23.49</v>
      </c>
      <c r="I368" s="4" t="n">
        <v>20.17</v>
      </c>
      <c r="J368" s="0" t="n">
        <v>116</v>
      </c>
      <c r="K368" s="3" t="s">
        <v>44</v>
      </c>
      <c r="L368" s="3" t="n">
        <f aca="false">IF(D368="","",IF(D368-C368&lt;0,"",D368-C368))</f>
        <v>10</v>
      </c>
      <c r="M368" s="4" t="n">
        <f aca="false">G368*I368</f>
        <v>26342.02</v>
      </c>
      <c r="N368" s="5" t="n">
        <f aca="false">IF(J368="","",J368/G368*100)</f>
        <v>8.88208269525268</v>
      </c>
      <c r="O368" s="5" t="n">
        <f aca="false">(H368-I368)/H368*100</f>
        <v>14.1336739037888</v>
      </c>
      <c r="P368" s="3" t="n">
        <f aca="false">IF(OR(F368="Delivered",F368="Partially Delivered"),1,0)</f>
        <v>1</v>
      </c>
      <c r="Q368" s="3" t="n">
        <f aca="false">IF(F368="Cancelled",1,0)</f>
        <v>0</v>
      </c>
      <c r="R368" s="3" t="n">
        <f aca="false">IF(K368="Yes",1,0)</f>
        <v>0</v>
      </c>
    </row>
    <row r="369" customFormat="false" ht="15" hidden="false" customHeight="false" outlineLevel="0" collapsed="false">
      <c r="A369" s="0" t="s">
        <v>841</v>
      </c>
      <c r="B369" s="0" t="s">
        <v>26</v>
      </c>
      <c r="C369" s="2" t="s">
        <v>331</v>
      </c>
      <c r="D369" s="2" t="s">
        <v>842</v>
      </c>
      <c r="E369" s="3" t="s">
        <v>71</v>
      </c>
      <c r="F369" s="3" t="s">
        <v>29</v>
      </c>
      <c r="G369" s="0" t="n">
        <v>1172</v>
      </c>
      <c r="H369" s="4" t="n">
        <v>32.93</v>
      </c>
      <c r="I369" s="4" t="n">
        <v>29.28</v>
      </c>
      <c r="K369" s="3" t="s">
        <v>44</v>
      </c>
      <c r="L369" s="3" t="n">
        <f aca="false">IF(D369="","",IF(D369-C369&lt;0,"",D369-C369))</f>
        <v>13</v>
      </c>
      <c r="M369" s="4" t="n">
        <f aca="false">G369*I369</f>
        <v>34316.16</v>
      </c>
      <c r="N369" s="5" t="str">
        <f aca="false">IF(J369="","",J369/G369*100)</f>
        <v/>
      </c>
      <c r="O369" s="5" t="n">
        <f aca="false">(H369-I369)/H369*100</f>
        <v>11.0841178256909</v>
      </c>
      <c r="P369" s="3" t="n">
        <f aca="false">IF(OR(F369="Delivered",F369="Partially Delivered"),1,0)</f>
        <v>1</v>
      </c>
      <c r="Q369" s="3" t="n">
        <f aca="false">IF(F369="Cancelled",1,0)</f>
        <v>0</v>
      </c>
      <c r="R369" s="3" t="n">
        <f aca="false">IF(K369="Yes",1,0)</f>
        <v>0</v>
      </c>
    </row>
    <row r="370" customFormat="false" ht="15" hidden="false" customHeight="false" outlineLevel="0" collapsed="false">
      <c r="A370" s="0" t="s">
        <v>843</v>
      </c>
      <c r="B370" s="0" t="s">
        <v>19</v>
      </c>
      <c r="C370" s="2" t="s">
        <v>844</v>
      </c>
      <c r="D370" s="2"/>
      <c r="E370" s="3" t="s">
        <v>39</v>
      </c>
      <c r="F370" s="3" t="s">
        <v>29</v>
      </c>
      <c r="G370" s="0" t="n">
        <v>1732</v>
      </c>
      <c r="H370" s="4" t="n">
        <v>82.5</v>
      </c>
      <c r="I370" s="4" t="n">
        <v>71.71</v>
      </c>
      <c r="J370" s="0" t="n">
        <v>24</v>
      </c>
      <c r="K370" s="3" t="s">
        <v>24</v>
      </c>
      <c r="L370" s="0" t="str">
        <f aca="false">IF(D370="","",IF(D370-C370&lt;0,"",D370-C370))</f>
        <v/>
      </c>
      <c r="M370" s="4" t="n">
        <f aca="false">G370*I370</f>
        <v>124201.72</v>
      </c>
      <c r="N370" s="5" t="n">
        <f aca="false">IF(J370="","",J370/G370*100)</f>
        <v>1.38568129330254</v>
      </c>
      <c r="O370" s="5" t="n">
        <f aca="false">(H370-I370)/H370*100</f>
        <v>13.0787878787879</v>
      </c>
      <c r="P370" s="3" t="n">
        <f aca="false">IF(OR(F370="Delivered",F370="Partially Delivered"),1,0)</f>
        <v>1</v>
      </c>
      <c r="Q370" s="3" t="n">
        <f aca="false">IF(F370="Cancelled",1,0)</f>
        <v>0</v>
      </c>
      <c r="R370" s="3" t="n">
        <f aca="false">IF(K370="Yes",1,0)</f>
        <v>1</v>
      </c>
    </row>
    <row r="371" customFormat="false" ht="15" hidden="false" customHeight="false" outlineLevel="0" collapsed="false">
      <c r="A371" s="0" t="s">
        <v>845</v>
      </c>
      <c r="B371" s="0" t="s">
        <v>31</v>
      </c>
      <c r="C371" s="2" t="s">
        <v>846</v>
      </c>
      <c r="D371" s="2" t="s">
        <v>183</v>
      </c>
      <c r="E371" s="3" t="s">
        <v>43</v>
      </c>
      <c r="F371" s="3" t="s">
        <v>29</v>
      </c>
      <c r="G371" s="0" t="n">
        <v>865</v>
      </c>
      <c r="H371" s="4" t="n">
        <v>81.54</v>
      </c>
      <c r="I371" s="4" t="n">
        <v>71.59</v>
      </c>
      <c r="J371" s="0" t="n">
        <v>39</v>
      </c>
      <c r="K371" s="3" t="s">
        <v>24</v>
      </c>
      <c r="L371" s="3" t="n">
        <f aca="false">IF(D371="","",IF(D371-C371&lt;0,"",D371-C371))</f>
        <v>7</v>
      </c>
      <c r="M371" s="4" t="n">
        <f aca="false">G371*I371</f>
        <v>61925.35</v>
      </c>
      <c r="N371" s="5" t="n">
        <f aca="false">IF(J371="","",J371/G371*100)</f>
        <v>4.50867052023121</v>
      </c>
      <c r="O371" s="5" t="n">
        <f aca="false">(H371-I371)/H371*100</f>
        <v>12.2025999509443</v>
      </c>
      <c r="P371" s="3" t="n">
        <f aca="false">IF(OR(F371="Delivered",F371="Partially Delivered"),1,0)</f>
        <v>1</v>
      </c>
      <c r="Q371" s="3" t="n">
        <f aca="false">IF(F371="Cancelled",1,0)</f>
        <v>0</v>
      </c>
      <c r="R371" s="3" t="n">
        <f aca="false">IF(K371="Yes",1,0)</f>
        <v>1</v>
      </c>
    </row>
    <row r="372" customFormat="false" ht="15" hidden="false" customHeight="false" outlineLevel="0" collapsed="false">
      <c r="A372" s="0" t="s">
        <v>847</v>
      </c>
      <c r="B372" s="0" t="s">
        <v>36</v>
      </c>
      <c r="C372" s="2" t="s">
        <v>848</v>
      </c>
      <c r="D372" s="2" t="s">
        <v>669</v>
      </c>
      <c r="E372" s="3" t="s">
        <v>43</v>
      </c>
      <c r="F372" s="3" t="s">
        <v>29</v>
      </c>
      <c r="G372" s="0" t="n">
        <v>257</v>
      </c>
      <c r="H372" s="4" t="n">
        <v>68.72</v>
      </c>
      <c r="I372" s="4" t="n">
        <v>66.92</v>
      </c>
      <c r="J372" s="0" t="n">
        <v>22</v>
      </c>
      <c r="K372" s="3" t="s">
        <v>24</v>
      </c>
      <c r="L372" s="3" t="n">
        <f aca="false">IF(D372="","",IF(D372-C372&lt;0,"",D372-C372))</f>
        <v>7</v>
      </c>
      <c r="M372" s="4" t="n">
        <f aca="false">G372*I372</f>
        <v>17198.44</v>
      </c>
      <c r="N372" s="5" t="n">
        <f aca="false">IF(J372="","",J372/G372*100)</f>
        <v>8.56031128404669</v>
      </c>
      <c r="O372" s="5" t="n">
        <f aca="false">(H372-I372)/H372*100</f>
        <v>2.61932479627473</v>
      </c>
      <c r="P372" s="3" t="n">
        <f aca="false">IF(OR(F372="Delivered",F372="Partially Delivered"),1,0)</f>
        <v>1</v>
      </c>
      <c r="Q372" s="3" t="n">
        <f aca="false">IF(F372="Cancelled",1,0)</f>
        <v>0</v>
      </c>
      <c r="R372" s="3" t="n">
        <f aca="false">IF(K372="Yes",1,0)</f>
        <v>1</v>
      </c>
    </row>
    <row r="373" customFormat="false" ht="15" hidden="false" customHeight="false" outlineLevel="0" collapsed="false">
      <c r="A373" s="0" t="s">
        <v>849</v>
      </c>
      <c r="B373" s="0" t="s">
        <v>46</v>
      </c>
      <c r="C373" s="2" t="s">
        <v>850</v>
      </c>
      <c r="D373" s="2" t="s">
        <v>594</v>
      </c>
      <c r="E373" s="3" t="s">
        <v>39</v>
      </c>
      <c r="F373" s="3" t="s">
        <v>29</v>
      </c>
      <c r="G373" s="0" t="n">
        <v>1204</v>
      </c>
      <c r="H373" s="4" t="n">
        <v>73.18</v>
      </c>
      <c r="I373" s="4" t="n">
        <v>67.59</v>
      </c>
      <c r="J373" s="0" t="n">
        <v>31</v>
      </c>
      <c r="K373" s="3" t="s">
        <v>24</v>
      </c>
      <c r="L373" s="3" t="n">
        <f aca="false">IF(D373="","",IF(D373-C373&lt;0,"",D373-C373))</f>
        <v>9</v>
      </c>
      <c r="M373" s="4" t="n">
        <f aca="false">G373*I373</f>
        <v>81378.36</v>
      </c>
      <c r="N373" s="5" t="n">
        <f aca="false">IF(J373="","",J373/G373*100)</f>
        <v>2.57475083056478</v>
      </c>
      <c r="O373" s="5" t="n">
        <f aca="false">(H373-I373)/H373*100</f>
        <v>7.63869909811424</v>
      </c>
      <c r="P373" s="3" t="n">
        <f aca="false">IF(OR(F373="Delivered",F373="Partially Delivered"),1,0)</f>
        <v>1</v>
      </c>
      <c r="Q373" s="3" t="n">
        <f aca="false">IF(F373="Cancelled",1,0)</f>
        <v>0</v>
      </c>
      <c r="R373" s="3" t="n">
        <f aca="false">IF(K373="Yes",1,0)</f>
        <v>1</v>
      </c>
    </row>
    <row r="374" customFormat="false" ht="15" hidden="false" customHeight="false" outlineLevel="0" collapsed="false">
      <c r="A374" s="0" t="s">
        <v>851</v>
      </c>
      <c r="B374" s="0" t="s">
        <v>36</v>
      </c>
      <c r="C374" s="2" t="s">
        <v>419</v>
      </c>
      <c r="D374" s="2" t="s">
        <v>268</v>
      </c>
      <c r="E374" s="3" t="s">
        <v>71</v>
      </c>
      <c r="F374" s="3" t="s">
        <v>58</v>
      </c>
      <c r="G374" s="0" t="n">
        <v>453</v>
      </c>
      <c r="H374" s="4" t="n">
        <v>64.14</v>
      </c>
      <c r="I374" s="4" t="n">
        <v>60.18</v>
      </c>
      <c r="J374" s="0" t="n">
        <v>51</v>
      </c>
      <c r="K374" s="3" t="s">
        <v>24</v>
      </c>
      <c r="L374" s="3" t="n">
        <f aca="false">IF(D374="","",IF(D374-C374&lt;0,"",D374-C374))</f>
        <v>4</v>
      </c>
      <c r="M374" s="4" t="n">
        <f aca="false">G374*I374</f>
        <v>27261.54</v>
      </c>
      <c r="N374" s="5" t="n">
        <f aca="false">IF(J374="","",J374/G374*100)</f>
        <v>11.2582781456954</v>
      </c>
      <c r="O374" s="5" t="n">
        <f aca="false">(H374-I374)/H374*100</f>
        <v>6.17399438727783</v>
      </c>
      <c r="P374" s="3" t="n">
        <f aca="false">IF(OR(F374="Delivered",F374="Partially Delivered"),1,0)</f>
        <v>1</v>
      </c>
      <c r="Q374" s="3" t="n">
        <f aca="false">IF(F374="Cancelled",1,0)</f>
        <v>0</v>
      </c>
      <c r="R374" s="3" t="n">
        <f aca="false">IF(K374="Yes",1,0)</f>
        <v>1</v>
      </c>
    </row>
    <row r="375" customFormat="false" ht="15" hidden="false" customHeight="false" outlineLevel="0" collapsed="false">
      <c r="A375" s="0" t="s">
        <v>852</v>
      </c>
      <c r="B375" s="0" t="s">
        <v>46</v>
      </c>
      <c r="C375" s="2" t="s">
        <v>722</v>
      </c>
      <c r="D375" s="2" t="s">
        <v>853</v>
      </c>
      <c r="E375" s="3" t="s">
        <v>71</v>
      </c>
      <c r="F375" s="3" t="s">
        <v>29</v>
      </c>
      <c r="G375" s="0" t="n">
        <v>201</v>
      </c>
      <c r="H375" s="4" t="n">
        <v>33.81</v>
      </c>
      <c r="I375" s="4" t="n">
        <v>32.54</v>
      </c>
      <c r="J375" s="0" t="n">
        <v>3</v>
      </c>
      <c r="K375" s="3" t="s">
        <v>24</v>
      </c>
      <c r="L375" s="3" t="n">
        <f aca="false">IF(D375="","",IF(D375-C375&lt;0,"",D375-C375))</f>
        <v>14</v>
      </c>
      <c r="M375" s="4" t="n">
        <f aca="false">G375*I375</f>
        <v>6540.54</v>
      </c>
      <c r="N375" s="5" t="n">
        <f aca="false">IF(J375="","",J375/G375*100)</f>
        <v>1.49253731343284</v>
      </c>
      <c r="O375" s="5" t="n">
        <f aca="false">(H375-I375)/H375*100</f>
        <v>3.75628512274476</v>
      </c>
      <c r="P375" s="3" t="n">
        <f aca="false">IF(OR(F375="Delivered",F375="Partially Delivered"),1,0)</f>
        <v>1</v>
      </c>
      <c r="Q375" s="3" t="n">
        <f aca="false">IF(F375="Cancelled",1,0)</f>
        <v>0</v>
      </c>
      <c r="R375" s="3" t="n">
        <f aca="false">IF(K375="Yes",1,0)</f>
        <v>1</v>
      </c>
    </row>
    <row r="376" customFormat="false" ht="15" hidden="false" customHeight="false" outlineLevel="0" collapsed="false">
      <c r="A376" s="0" t="s">
        <v>854</v>
      </c>
      <c r="B376" s="0" t="s">
        <v>26</v>
      </c>
      <c r="C376" s="2" t="s">
        <v>855</v>
      </c>
      <c r="D376" s="2" t="s">
        <v>561</v>
      </c>
      <c r="E376" s="3" t="s">
        <v>22</v>
      </c>
      <c r="F376" s="3" t="s">
        <v>29</v>
      </c>
      <c r="G376" s="0" t="n">
        <v>103</v>
      </c>
      <c r="H376" s="4" t="n">
        <v>44.61</v>
      </c>
      <c r="I376" s="4" t="n">
        <v>42.88</v>
      </c>
      <c r="J376" s="0" t="n">
        <v>10</v>
      </c>
      <c r="K376" s="3" t="s">
        <v>24</v>
      </c>
      <c r="L376" s="3" t="n">
        <f aca="false">IF(D376="","",IF(D376-C376&lt;0,"",D376-C376))</f>
        <v>13</v>
      </c>
      <c r="M376" s="4" t="n">
        <f aca="false">G376*I376</f>
        <v>4416.64</v>
      </c>
      <c r="N376" s="5" t="n">
        <f aca="false">IF(J376="","",J376/G376*100)</f>
        <v>9.70873786407767</v>
      </c>
      <c r="O376" s="5" t="n">
        <f aca="false">(H376-I376)/H376*100</f>
        <v>3.87805424792647</v>
      </c>
      <c r="P376" s="3" t="n">
        <f aca="false">IF(OR(F376="Delivered",F376="Partially Delivered"),1,0)</f>
        <v>1</v>
      </c>
      <c r="Q376" s="3" t="n">
        <f aca="false">IF(F376="Cancelled",1,0)</f>
        <v>0</v>
      </c>
      <c r="R376" s="3" t="n">
        <f aca="false">IF(K376="Yes",1,0)</f>
        <v>1</v>
      </c>
    </row>
    <row r="377" customFormat="false" ht="15" hidden="false" customHeight="false" outlineLevel="0" collapsed="false">
      <c r="A377" s="0" t="s">
        <v>856</v>
      </c>
      <c r="B377" s="0" t="s">
        <v>46</v>
      </c>
      <c r="C377" s="2" t="s">
        <v>336</v>
      </c>
      <c r="D377" s="2" t="s">
        <v>857</v>
      </c>
      <c r="E377" s="3" t="s">
        <v>22</v>
      </c>
      <c r="F377" s="3" t="s">
        <v>29</v>
      </c>
      <c r="G377" s="0" t="n">
        <v>1193</v>
      </c>
      <c r="H377" s="4" t="n">
        <v>27.4</v>
      </c>
      <c r="I377" s="4" t="n">
        <v>27.09</v>
      </c>
      <c r="K377" s="3" t="s">
        <v>24</v>
      </c>
      <c r="L377" s="3" t="n">
        <f aca="false">IF(D377="","",IF(D377-C377&lt;0,"",D377-C377))</f>
        <v>8</v>
      </c>
      <c r="M377" s="4" t="n">
        <f aca="false">G377*I377</f>
        <v>32318.37</v>
      </c>
      <c r="N377" s="5" t="str">
        <f aca="false">IF(J377="","",J377/G377*100)</f>
        <v/>
      </c>
      <c r="O377" s="5" t="n">
        <f aca="false">(H377-I377)/H377*100</f>
        <v>1.13138686131386</v>
      </c>
      <c r="P377" s="3" t="n">
        <f aca="false">IF(OR(F377="Delivered",F377="Partially Delivered"),1,0)</f>
        <v>1</v>
      </c>
      <c r="Q377" s="3" t="n">
        <f aca="false">IF(F377="Cancelled",1,0)</f>
        <v>0</v>
      </c>
      <c r="R377" s="3" t="n">
        <f aca="false">IF(K377="Yes",1,0)</f>
        <v>1</v>
      </c>
    </row>
    <row r="378" customFormat="false" ht="15" hidden="false" customHeight="false" outlineLevel="0" collapsed="false">
      <c r="A378" s="0" t="s">
        <v>858</v>
      </c>
      <c r="B378" s="0" t="s">
        <v>31</v>
      </c>
      <c r="C378" s="2" t="s">
        <v>621</v>
      </c>
      <c r="D378" s="2" t="s">
        <v>859</v>
      </c>
      <c r="E378" s="3" t="s">
        <v>22</v>
      </c>
      <c r="F378" s="3" t="s">
        <v>58</v>
      </c>
      <c r="G378" s="0" t="n">
        <v>1746</v>
      </c>
      <c r="H378" s="4" t="n">
        <v>93.6</v>
      </c>
      <c r="I378" s="4" t="n">
        <v>89.81</v>
      </c>
      <c r="J378" s="0" t="n">
        <v>85</v>
      </c>
      <c r="K378" s="3" t="s">
        <v>24</v>
      </c>
      <c r="L378" s="3" t="n">
        <f aca="false">IF(D378="","",IF(D378-C378&lt;0,"",D378-C378))</f>
        <v>12</v>
      </c>
      <c r="M378" s="4" t="n">
        <f aca="false">G378*I378</f>
        <v>156808.26</v>
      </c>
      <c r="N378" s="5" t="n">
        <f aca="false">IF(J378="","",J378/G378*100)</f>
        <v>4.86827033218786</v>
      </c>
      <c r="O378" s="5" t="n">
        <f aca="false">(H378-I378)/H378*100</f>
        <v>4.04914529914529</v>
      </c>
      <c r="P378" s="3" t="n">
        <f aca="false">IF(OR(F378="Delivered",F378="Partially Delivered"),1,0)</f>
        <v>1</v>
      </c>
      <c r="Q378" s="3" t="n">
        <f aca="false">IF(F378="Cancelled",1,0)</f>
        <v>0</v>
      </c>
      <c r="R378" s="3" t="n">
        <f aca="false">IF(K378="Yes",1,0)</f>
        <v>1</v>
      </c>
    </row>
    <row r="379" customFormat="false" ht="15" hidden="false" customHeight="false" outlineLevel="0" collapsed="false">
      <c r="A379" s="0" t="s">
        <v>860</v>
      </c>
      <c r="B379" s="0" t="s">
        <v>26</v>
      </c>
      <c r="C379" s="2" t="s">
        <v>861</v>
      </c>
      <c r="D379" s="2" t="s">
        <v>862</v>
      </c>
      <c r="E379" s="3" t="s">
        <v>71</v>
      </c>
      <c r="F379" s="3" t="s">
        <v>29</v>
      </c>
      <c r="G379" s="0" t="n">
        <v>1993</v>
      </c>
      <c r="H379" s="4" t="n">
        <v>65.94</v>
      </c>
      <c r="I379" s="4" t="n">
        <v>59.36</v>
      </c>
      <c r="K379" s="3" t="s">
        <v>24</v>
      </c>
      <c r="L379" s="3" t="n">
        <f aca="false">IF(D379="","",IF(D379-C379&lt;0,"",D379-C379))</f>
        <v>2</v>
      </c>
      <c r="M379" s="4" t="n">
        <f aca="false">G379*I379</f>
        <v>118304.48</v>
      </c>
      <c r="N379" s="5" t="str">
        <f aca="false">IF(J379="","",J379/G379*100)</f>
        <v/>
      </c>
      <c r="O379" s="5" t="n">
        <f aca="false">(H379-I379)/H379*100</f>
        <v>9.97876857749469</v>
      </c>
      <c r="P379" s="3" t="n">
        <f aca="false">IF(OR(F379="Delivered",F379="Partially Delivered"),1,0)</f>
        <v>1</v>
      </c>
      <c r="Q379" s="3" t="n">
        <f aca="false">IF(F379="Cancelled",1,0)</f>
        <v>0</v>
      </c>
      <c r="R379" s="3" t="n">
        <f aca="false">IF(K379="Yes",1,0)</f>
        <v>1</v>
      </c>
    </row>
    <row r="380" customFormat="false" ht="15" hidden="false" customHeight="false" outlineLevel="0" collapsed="false">
      <c r="A380" s="0" t="s">
        <v>863</v>
      </c>
      <c r="B380" s="0" t="s">
        <v>36</v>
      </c>
      <c r="C380" s="2" t="s">
        <v>311</v>
      </c>
      <c r="D380" s="2" t="s">
        <v>864</v>
      </c>
      <c r="E380" s="3" t="s">
        <v>43</v>
      </c>
      <c r="F380" s="3" t="s">
        <v>29</v>
      </c>
      <c r="G380" s="0" t="n">
        <v>677</v>
      </c>
      <c r="H380" s="4" t="n">
        <v>46.54</v>
      </c>
      <c r="I380" s="4" t="n">
        <v>43.11</v>
      </c>
      <c r="K380" s="3" t="s">
        <v>44</v>
      </c>
      <c r="L380" s="3" t="n">
        <f aca="false">IF(D380="","",IF(D380-C380&lt;0,"",D380-C380))</f>
        <v>15</v>
      </c>
      <c r="M380" s="4" t="n">
        <f aca="false">G380*I380</f>
        <v>29185.47</v>
      </c>
      <c r="N380" s="5" t="str">
        <f aca="false">IF(J380="","",J380/G380*100)</f>
        <v/>
      </c>
      <c r="O380" s="5" t="n">
        <f aca="false">(H380-I380)/H380*100</f>
        <v>7.3700042973786</v>
      </c>
      <c r="P380" s="3" t="n">
        <f aca="false">IF(OR(F380="Delivered",F380="Partially Delivered"),1,0)</f>
        <v>1</v>
      </c>
      <c r="Q380" s="3" t="n">
        <f aca="false">IF(F380="Cancelled",1,0)</f>
        <v>0</v>
      </c>
      <c r="R380" s="3" t="n">
        <f aca="false">IF(K380="Yes",1,0)</f>
        <v>0</v>
      </c>
    </row>
    <row r="381" customFormat="false" ht="15" hidden="false" customHeight="false" outlineLevel="0" collapsed="false">
      <c r="A381" s="0" t="s">
        <v>865</v>
      </c>
      <c r="B381" s="0" t="s">
        <v>19</v>
      </c>
      <c r="C381" s="2" t="s">
        <v>41</v>
      </c>
      <c r="D381" s="2"/>
      <c r="E381" s="3" t="s">
        <v>22</v>
      </c>
      <c r="F381" s="3" t="s">
        <v>62</v>
      </c>
      <c r="G381" s="0" t="n">
        <v>636</v>
      </c>
      <c r="H381" s="4" t="n">
        <v>53.64</v>
      </c>
      <c r="I381" s="4" t="n">
        <v>49.23</v>
      </c>
      <c r="J381" s="0" t="n">
        <v>18</v>
      </c>
      <c r="K381" s="3" t="s">
        <v>24</v>
      </c>
      <c r="L381" s="0" t="str">
        <f aca="false">IF(D381="","",IF(D381-C381&lt;0,"",D381-C381))</f>
        <v/>
      </c>
      <c r="M381" s="4" t="n">
        <f aca="false">G381*I381</f>
        <v>31310.28</v>
      </c>
      <c r="N381" s="5" t="n">
        <f aca="false">IF(J381="","",J381/G381*100)</f>
        <v>2.83018867924528</v>
      </c>
      <c r="O381" s="5" t="n">
        <f aca="false">(H381-I381)/H381*100</f>
        <v>8.22147651006712</v>
      </c>
      <c r="P381" s="3" t="n">
        <f aca="false">IF(OR(F381="Delivered",F381="Partially Delivered"),1,0)</f>
        <v>0</v>
      </c>
      <c r="Q381" s="3" t="n">
        <f aca="false">IF(F381="Cancelled",1,0)</f>
        <v>0</v>
      </c>
      <c r="R381" s="3" t="n">
        <f aca="false">IF(K381="Yes",1,0)</f>
        <v>1</v>
      </c>
    </row>
    <row r="382" customFormat="false" ht="15" hidden="false" customHeight="false" outlineLevel="0" collapsed="false">
      <c r="A382" s="0" t="s">
        <v>866</v>
      </c>
      <c r="B382" s="0" t="s">
        <v>46</v>
      </c>
      <c r="C382" s="2" t="s">
        <v>650</v>
      </c>
      <c r="D382" s="2" t="s">
        <v>152</v>
      </c>
      <c r="E382" s="3" t="s">
        <v>39</v>
      </c>
      <c r="F382" s="3" t="s">
        <v>29</v>
      </c>
      <c r="G382" s="0" t="n">
        <v>1698</v>
      </c>
      <c r="H382" s="4" t="n">
        <v>100.97</v>
      </c>
      <c r="I382" s="4" t="n">
        <v>98.73</v>
      </c>
      <c r="J382" s="0" t="n">
        <v>52</v>
      </c>
      <c r="K382" s="3" t="s">
        <v>24</v>
      </c>
      <c r="L382" s="3" t="n">
        <f aca="false">IF(D382="","",IF(D382-C382&lt;0,"",D382-C382))</f>
        <v>19</v>
      </c>
      <c r="M382" s="4" t="n">
        <f aca="false">G382*I382</f>
        <v>167643.54</v>
      </c>
      <c r="N382" s="5" t="n">
        <f aca="false">IF(J382="","",J382/G382*100)</f>
        <v>3.06242638398115</v>
      </c>
      <c r="O382" s="5" t="n">
        <f aca="false">(H382-I382)/H382*100</f>
        <v>2.21848073685253</v>
      </c>
      <c r="P382" s="3" t="n">
        <f aca="false">IF(OR(F382="Delivered",F382="Partially Delivered"),1,0)</f>
        <v>1</v>
      </c>
      <c r="Q382" s="3" t="n">
        <f aca="false">IF(F382="Cancelled",1,0)</f>
        <v>0</v>
      </c>
      <c r="R382" s="3" t="n">
        <f aca="false">IF(K382="Yes",1,0)</f>
        <v>1</v>
      </c>
    </row>
    <row r="383" customFormat="false" ht="15" hidden="false" customHeight="false" outlineLevel="0" collapsed="false">
      <c r="A383" s="0" t="s">
        <v>867</v>
      </c>
      <c r="B383" s="0" t="s">
        <v>31</v>
      </c>
      <c r="C383" s="2" t="s">
        <v>868</v>
      </c>
      <c r="D383" s="2" t="s">
        <v>226</v>
      </c>
      <c r="E383" s="3" t="s">
        <v>22</v>
      </c>
      <c r="F383" s="3" t="s">
        <v>29</v>
      </c>
      <c r="G383" s="0" t="n">
        <v>1493</v>
      </c>
      <c r="H383" s="4" t="n">
        <v>24.87</v>
      </c>
      <c r="I383" s="4" t="n">
        <v>22.89</v>
      </c>
      <c r="J383" s="0" t="n">
        <v>56</v>
      </c>
      <c r="K383" s="3" t="s">
        <v>24</v>
      </c>
      <c r="L383" s="3" t="n">
        <f aca="false">IF(D383="","",IF(D383-C383&lt;0,"",D383-C383))</f>
        <v>13</v>
      </c>
      <c r="M383" s="4" t="n">
        <f aca="false">G383*I383</f>
        <v>34174.77</v>
      </c>
      <c r="N383" s="5" t="n">
        <f aca="false">IF(J383="","",J383/G383*100)</f>
        <v>3.75083724045546</v>
      </c>
      <c r="O383" s="5" t="n">
        <f aca="false">(H383-I383)/H383*100</f>
        <v>7.96139927623643</v>
      </c>
      <c r="P383" s="3" t="n">
        <f aca="false">IF(OR(F383="Delivered",F383="Partially Delivered"),1,0)</f>
        <v>1</v>
      </c>
      <c r="Q383" s="3" t="n">
        <f aca="false">IF(F383="Cancelled",1,0)</f>
        <v>0</v>
      </c>
      <c r="R383" s="3" t="n">
        <f aca="false">IF(K383="Yes",1,0)</f>
        <v>1</v>
      </c>
    </row>
    <row r="384" customFormat="false" ht="15" hidden="false" customHeight="false" outlineLevel="0" collapsed="false">
      <c r="A384" s="0" t="s">
        <v>869</v>
      </c>
      <c r="B384" s="0" t="s">
        <v>19</v>
      </c>
      <c r="C384" s="2" t="s">
        <v>434</v>
      </c>
      <c r="D384" s="2" t="s">
        <v>264</v>
      </c>
      <c r="E384" s="3" t="s">
        <v>39</v>
      </c>
      <c r="F384" s="3" t="s">
        <v>29</v>
      </c>
      <c r="G384" s="0" t="n">
        <v>1495</v>
      </c>
      <c r="H384" s="4" t="n">
        <v>64.33</v>
      </c>
      <c r="I384" s="4" t="n">
        <v>58.18</v>
      </c>
      <c r="J384" s="0" t="n">
        <v>26</v>
      </c>
      <c r="K384" s="3" t="s">
        <v>24</v>
      </c>
      <c r="L384" s="3" t="n">
        <f aca="false">IF(D384="","",IF(D384-C384&lt;0,"",D384-C384))</f>
        <v>14</v>
      </c>
      <c r="M384" s="4" t="n">
        <f aca="false">G384*I384</f>
        <v>86979.1</v>
      </c>
      <c r="N384" s="5" t="n">
        <f aca="false">IF(J384="","",J384/G384*100)</f>
        <v>1.73913043478261</v>
      </c>
      <c r="O384" s="5" t="n">
        <f aca="false">(H384-I384)/H384*100</f>
        <v>9.56008083320379</v>
      </c>
      <c r="P384" s="3" t="n">
        <f aca="false">IF(OR(F384="Delivered",F384="Partially Delivered"),1,0)</f>
        <v>1</v>
      </c>
      <c r="Q384" s="3" t="n">
        <f aca="false">IF(F384="Cancelled",1,0)</f>
        <v>0</v>
      </c>
      <c r="R384" s="3" t="n">
        <f aca="false">IF(K384="Yes",1,0)</f>
        <v>1</v>
      </c>
    </row>
    <row r="385" customFormat="false" ht="15" hidden="false" customHeight="false" outlineLevel="0" collapsed="false">
      <c r="A385" s="0" t="s">
        <v>870</v>
      </c>
      <c r="B385" s="0" t="s">
        <v>19</v>
      </c>
      <c r="C385" s="2" t="s">
        <v>557</v>
      </c>
      <c r="D385" s="2" t="s">
        <v>871</v>
      </c>
      <c r="E385" s="3" t="s">
        <v>39</v>
      </c>
      <c r="F385" s="3" t="s">
        <v>23</v>
      </c>
      <c r="G385" s="0" t="n">
        <v>153</v>
      </c>
      <c r="H385" s="4" t="n">
        <v>59.42</v>
      </c>
      <c r="I385" s="4" t="n">
        <v>52</v>
      </c>
      <c r="J385" s="0" t="n">
        <v>3</v>
      </c>
      <c r="K385" s="3" t="s">
        <v>24</v>
      </c>
      <c r="L385" s="3" t="n">
        <f aca="false">IF(D385="","",IF(D385-C385&lt;0,"",D385-C385))</f>
        <v>13</v>
      </c>
      <c r="M385" s="4" t="n">
        <f aca="false">G385*I385</f>
        <v>7956</v>
      </c>
      <c r="N385" s="5" t="n">
        <f aca="false">IF(J385="","",J385/G385*100)</f>
        <v>1.96078431372549</v>
      </c>
      <c r="O385" s="5" t="n">
        <f aca="false">(H385-I385)/H385*100</f>
        <v>12.4873779872097</v>
      </c>
      <c r="P385" s="3" t="n">
        <f aca="false">IF(OR(F385="Delivered",F385="Partially Delivered"),1,0)</f>
        <v>0</v>
      </c>
      <c r="Q385" s="3" t="n">
        <f aca="false">IF(F385="Cancelled",1,0)</f>
        <v>1</v>
      </c>
      <c r="R385" s="3" t="n">
        <f aca="false">IF(K385="Yes",1,0)</f>
        <v>1</v>
      </c>
    </row>
    <row r="386" customFormat="false" ht="15" hidden="false" customHeight="false" outlineLevel="0" collapsed="false">
      <c r="A386" s="0" t="s">
        <v>872</v>
      </c>
      <c r="B386" s="0" t="s">
        <v>26</v>
      </c>
      <c r="C386" s="2" t="s">
        <v>873</v>
      </c>
      <c r="D386" s="2" t="s">
        <v>584</v>
      </c>
      <c r="E386" s="3" t="s">
        <v>43</v>
      </c>
      <c r="F386" s="3" t="s">
        <v>23</v>
      </c>
      <c r="G386" s="0" t="n">
        <v>1925</v>
      </c>
      <c r="H386" s="4" t="n">
        <v>70.88</v>
      </c>
      <c r="I386" s="4" t="n">
        <v>63.41</v>
      </c>
      <c r="J386" s="0" t="n">
        <v>292</v>
      </c>
      <c r="K386" s="3" t="s">
        <v>24</v>
      </c>
      <c r="L386" s="3" t="n">
        <f aca="false">IF(D386="","",IF(D386-C386&lt;0,"",D386-C386))</f>
        <v>11</v>
      </c>
      <c r="M386" s="4" t="n">
        <f aca="false">G386*I386</f>
        <v>122064.25</v>
      </c>
      <c r="N386" s="5" t="n">
        <f aca="false">IF(J386="","",J386/G386*100)</f>
        <v>15.1688311688312</v>
      </c>
      <c r="O386" s="5" t="n">
        <f aca="false">(H386-I386)/H386*100</f>
        <v>10.5389390519187</v>
      </c>
      <c r="P386" s="3" t="n">
        <f aca="false">IF(OR(F386="Delivered",F386="Partially Delivered"),1,0)</f>
        <v>0</v>
      </c>
      <c r="Q386" s="3" t="n">
        <f aca="false">IF(F386="Cancelled",1,0)</f>
        <v>1</v>
      </c>
      <c r="R386" s="3" t="n">
        <f aca="false">IF(K386="Yes",1,0)</f>
        <v>1</v>
      </c>
    </row>
    <row r="387" customFormat="false" ht="15" hidden="false" customHeight="false" outlineLevel="0" collapsed="false">
      <c r="A387" s="0" t="s">
        <v>874</v>
      </c>
      <c r="B387" s="0" t="s">
        <v>36</v>
      </c>
      <c r="C387" s="2" t="s">
        <v>875</v>
      </c>
      <c r="D387" s="2" t="s">
        <v>876</v>
      </c>
      <c r="E387" s="3" t="s">
        <v>39</v>
      </c>
      <c r="F387" s="3" t="s">
        <v>29</v>
      </c>
      <c r="G387" s="0" t="n">
        <v>303</v>
      </c>
      <c r="H387" s="4" t="n">
        <v>12.97</v>
      </c>
      <c r="I387" s="4" t="n">
        <v>11.42</v>
      </c>
      <c r="K387" s="3" t="s">
        <v>44</v>
      </c>
      <c r="L387" s="3" t="n">
        <f aca="false">IF(D387="","",IF(D387-C387&lt;0,"",D387-C387))</f>
        <v>20</v>
      </c>
      <c r="M387" s="4" t="n">
        <f aca="false">G387*I387</f>
        <v>3460.26</v>
      </c>
      <c r="N387" s="5" t="str">
        <f aca="false">IF(J387="","",J387/G387*100)</f>
        <v/>
      </c>
      <c r="O387" s="5" t="n">
        <f aca="false">(H387-I387)/H387*100</f>
        <v>11.9506553585197</v>
      </c>
      <c r="P387" s="3" t="n">
        <f aca="false">IF(OR(F387="Delivered",F387="Partially Delivered"),1,0)</f>
        <v>1</v>
      </c>
      <c r="Q387" s="3" t="n">
        <f aca="false">IF(F387="Cancelled",1,0)</f>
        <v>0</v>
      </c>
      <c r="R387" s="3" t="n">
        <f aca="false">IF(K387="Yes",1,0)</f>
        <v>0</v>
      </c>
    </row>
    <row r="388" customFormat="false" ht="15" hidden="false" customHeight="false" outlineLevel="0" collapsed="false">
      <c r="A388" s="0" t="s">
        <v>877</v>
      </c>
      <c r="B388" s="0" t="s">
        <v>19</v>
      </c>
      <c r="C388" s="2" t="s">
        <v>878</v>
      </c>
      <c r="D388" s="2" t="s">
        <v>764</v>
      </c>
      <c r="E388" s="3" t="s">
        <v>22</v>
      </c>
      <c r="F388" s="3" t="s">
        <v>29</v>
      </c>
      <c r="G388" s="0" t="n">
        <v>1300</v>
      </c>
      <c r="H388" s="4" t="n">
        <v>92.92</v>
      </c>
      <c r="I388" s="4" t="n">
        <v>90.63</v>
      </c>
      <c r="K388" s="3" t="s">
        <v>24</v>
      </c>
      <c r="L388" s="3" t="n">
        <f aca="false">IF(D388="","",IF(D388-C388&lt;0,"",D388-C388))</f>
        <v>12</v>
      </c>
      <c r="M388" s="4" t="n">
        <f aca="false">G388*I388</f>
        <v>117819</v>
      </c>
      <c r="N388" s="5" t="str">
        <f aca="false">IF(J388="","",J388/G388*100)</f>
        <v/>
      </c>
      <c r="O388" s="5" t="n">
        <f aca="false">(H388-I388)/H388*100</f>
        <v>2.46448557899269</v>
      </c>
      <c r="P388" s="3" t="n">
        <f aca="false">IF(OR(F388="Delivered",F388="Partially Delivered"),1,0)</f>
        <v>1</v>
      </c>
      <c r="Q388" s="3" t="n">
        <f aca="false">IF(F388="Cancelled",1,0)</f>
        <v>0</v>
      </c>
      <c r="R388" s="3" t="n">
        <f aca="false">IF(K388="Yes",1,0)</f>
        <v>1</v>
      </c>
    </row>
    <row r="389" customFormat="false" ht="15" hidden="false" customHeight="false" outlineLevel="0" collapsed="false">
      <c r="A389" s="0" t="s">
        <v>879</v>
      </c>
      <c r="B389" s="0" t="s">
        <v>31</v>
      </c>
      <c r="C389" s="2" t="s">
        <v>399</v>
      </c>
      <c r="D389" s="2" t="s">
        <v>880</v>
      </c>
      <c r="E389" s="3" t="s">
        <v>43</v>
      </c>
      <c r="F389" s="3" t="s">
        <v>29</v>
      </c>
      <c r="G389" s="0" t="n">
        <v>1185</v>
      </c>
      <c r="H389" s="4" t="n">
        <v>103.28</v>
      </c>
      <c r="I389" s="4" t="n">
        <v>99.05</v>
      </c>
      <c r="K389" s="3" t="s">
        <v>24</v>
      </c>
      <c r="L389" s="3" t="n">
        <f aca="false">IF(D389="","",IF(D389-C389&lt;0,"",D389-C389))</f>
        <v>4</v>
      </c>
      <c r="M389" s="4" t="n">
        <f aca="false">G389*I389</f>
        <v>117374.25</v>
      </c>
      <c r="N389" s="5" t="str">
        <f aca="false">IF(J389="","",J389/G389*100)</f>
        <v/>
      </c>
      <c r="O389" s="5" t="n">
        <f aca="false">(H389-I389)/H389*100</f>
        <v>4.09566227730442</v>
      </c>
      <c r="P389" s="3" t="n">
        <f aca="false">IF(OR(F389="Delivered",F389="Partially Delivered"),1,0)</f>
        <v>1</v>
      </c>
      <c r="Q389" s="3" t="n">
        <f aca="false">IF(F389="Cancelled",1,0)</f>
        <v>0</v>
      </c>
      <c r="R389" s="3" t="n">
        <f aca="false">IF(K389="Yes",1,0)</f>
        <v>1</v>
      </c>
    </row>
    <row r="390" customFormat="false" ht="15" hidden="false" customHeight="false" outlineLevel="0" collapsed="false">
      <c r="A390" s="0" t="s">
        <v>881</v>
      </c>
      <c r="B390" s="0" t="s">
        <v>46</v>
      </c>
      <c r="C390" s="2" t="s">
        <v>663</v>
      </c>
      <c r="D390" s="2" t="s">
        <v>882</v>
      </c>
      <c r="E390" s="3" t="s">
        <v>43</v>
      </c>
      <c r="F390" s="3" t="s">
        <v>29</v>
      </c>
      <c r="G390" s="0" t="n">
        <v>559</v>
      </c>
      <c r="H390" s="4" t="n">
        <v>67.56</v>
      </c>
      <c r="I390" s="4" t="n">
        <v>57.98</v>
      </c>
      <c r="J390" s="0" t="n">
        <v>15</v>
      </c>
      <c r="K390" s="3" t="s">
        <v>24</v>
      </c>
      <c r="L390" s="3" t="n">
        <f aca="false">IF(D390="","",IF(D390-C390&lt;0,"",D390-C390))</f>
        <v>19</v>
      </c>
      <c r="M390" s="4" t="n">
        <f aca="false">G390*I390</f>
        <v>32410.82</v>
      </c>
      <c r="N390" s="5" t="n">
        <f aca="false">IF(J390="","",J390/G390*100)</f>
        <v>2.68336314847943</v>
      </c>
      <c r="O390" s="5" t="n">
        <f aca="false">(H390-I390)/H390*100</f>
        <v>14.1799881586738</v>
      </c>
      <c r="P390" s="3" t="n">
        <f aca="false">IF(OR(F390="Delivered",F390="Partially Delivered"),1,0)</f>
        <v>1</v>
      </c>
      <c r="Q390" s="3" t="n">
        <f aca="false">IF(F390="Cancelled",1,0)</f>
        <v>0</v>
      </c>
      <c r="R390" s="3" t="n">
        <f aca="false">IF(K390="Yes",1,0)</f>
        <v>1</v>
      </c>
    </row>
    <row r="391" customFormat="false" ht="15" hidden="false" customHeight="false" outlineLevel="0" collapsed="false">
      <c r="A391" s="0" t="s">
        <v>883</v>
      </c>
      <c r="B391" s="0" t="s">
        <v>46</v>
      </c>
      <c r="C391" s="2" t="s">
        <v>403</v>
      </c>
      <c r="D391" s="2" t="s">
        <v>884</v>
      </c>
      <c r="E391" s="3" t="s">
        <v>71</v>
      </c>
      <c r="F391" s="3" t="s">
        <v>62</v>
      </c>
      <c r="G391" s="0" t="n">
        <v>1546</v>
      </c>
      <c r="H391" s="4" t="n">
        <v>78.88</v>
      </c>
      <c r="I391" s="4" t="n">
        <v>78</v>
      </c>
      <c r="J391" s="0" t="n">
        <v>38</v>
      </c>
      <c r="K391" s="3" t="s">
        <v>24</v>
      </c>
      <c r="L391" s="3" t="n">
        <f aca="false">IF(D391="","",IF(D391-C391&lt;0,"",D391-C391))</f>
        <v>3</v>
      </c>
      <c r="M391" s="4" t="n">
        <f aca="false">G391*I391</f>
        <v>120588</v>
      </c>
      <c r="N391" s="5" t="n">
        <f aca="false">IF(J391="","",J391/G391*100)</f>
        <v>2.45795601552393</v>
      </c>
      <c r="O391" s="5" t="n">
        <f aca="false">(H391-I391)/H391*100</f>
        <v>1.1156186612576</v>
      </c>
      <c r="P391" s="3" t="n">
        <f aca="false">IF(OR(F391="Delivered",F391="Partially Delivered"),1,0)</f>
        <v>0</v>
      </c>
      <c r="Q391" s="3" t="n">
        <f aca="false">IF(F391="Cancelled",1,0)</f>
        <v>0</v>
      </c>
      <c r="R391" s="3" t="n">
        <f aca="false">IF(K391="Yes",1,0)</f>
        <v>1</v>
      </c>
    </row>
    <row r="392" customFormat="false" ht="15" hidden="false" customHeight="false" outlineLevel="0" collapsed="false">
      <c r="A392" s="0" t="s">
        <v>885</v>
      </c>
      <c r="B392" s="0" t="s">
        <v>46</v>
      </c>
      <c r="C392" s="2" t="s">
        <v>886</v>
      </c>
      <c r="D392" s="2" t="s">
        <v>887</v>
      </c>
      <c r="E392" s="3" t="s">
        <v>39</v>
      </c>
      <c r="F392" s="3" t="s">
        <v>29</v>
      </c>
      <c r="G392" s="0" t="n">
        <v>148</v>
      </c>
      <c r="H392" s="4" t="n">
        <v>93.02</v>
      </c>
      <c r="I392" s="4" t="n">
        <v>85.96</v>
      </c>
      <c r="J392" s="0" t="n">
        <v>4</v>
      </c>
      <c r="K392" s="3" t="s">
        <v>24</v>
      </c>
      <c r="L392" s="3" t="n">
        <f aca="false">IF(D392="","",IF(D392-C392&lt;0,"",D392-C392))</f>
        <v>10</v>
      </c>
      <c r="M392" s="4" t="n">
        <f aca="false">G392*I392</f>
        <v>12722.08</v>
      </c>
      <c r="N392" s="5" t="n">
        <f aca="false">IF(J392="","",J392/G392*100)</f>
        <v>2.7027027027027</v>
      </c>
      <c r="O392" s="5" t="n">
        <f aca="false">(H392-I392)/H392*100</f>
        <v>7.58976564179747</v>
      </c>
      <c r="P392" s="3" t="n">
        <f aca="false">IF(OR(F392="Delivered",F392="Partially Delivered"),1,0)</f>
        <v>1</v>
      </c>
      <c r="Q392" s="3" t="n">
        <f aca="false">IF(F392="Cancelled",1,0)</f>
        <v>0</v>
      </c>
      <c r="R392" s="3" t="n">
        <f aca="false">IF(K392="Yes",1,0)</f>
        <v>1</v>
      </c>
    </row>
    <row r="393" customFormat="false" ht="15" hidden="false" customHeight="false" outlineLevel="0" collapsed="false">
      <c r="A393" s="0" t="s">
        <v>888</v>
      </c>
      <c r="B393" s="0" t="s">
        <v>26</v>
      </c>
      <c r="C393" s="2" t="s">
        <v>889</v>
      </c>
      <c r="D393" s="2" t="s">
        <v>787</v>
      </c>
      <c r="E393" s="3" t="s">
        <v>22</v>
      </c>
      <c r="F393" s="3" t="s">
        <v>29</v>
      </c>
      <c r="G393" s="0" t="n">
        <v>202</v>
      </c>
      <c r="H393" s="4" t="n">
        <v>81.75</v>
      </c>
      <c r="I393" s="4" t="n">
        <v>78.26</v>
      </c>
      <c r="J393" s="0" t="n">
        <v>37</v>
      </c>
      <c r="K393" s="3" t="s">
        <v>44</v>
      </c>
      <c r="L393" s="3" t="n">
        <f aca="false">IF(D393="","",IF(D393-C393&lt;0,"",D393-C393))</f>
        <v>8</v>
      </c>
      <c r="M393" s="4" t="n">
        <f aca="false">G393*I393</f>
        <v>15808.52</v>
      </c>
      <c r="N393" s="5" t="n">
        <f aca="false">IF(J393="","",J393/G393*100)</f>
        <v>18.3168316831683</v>
      </c>
      <c r="O393" s="5" t="n">
        <f aca="false">(H393-I393)/H393*100</f>
        <v>4.26911314984709</v>
      </c>
      <c r="P393" s="3" t="n">
        <f aca="false">IF(OR(F393="Delivered",F393="Partially Delivered"),1,0)</f>
        <v>1</v>
      </c>
      <c r="Q393" s="3" t="n">
        <f aca="false">IF(F393="Cancelled",1,0)</f>
        <v>0</v>
      </c>
      <c r="R393" s="3" t="n">
        <f aca="false">IF(K393="Yes",1,0)</f>
        <v>0</v>
      </c>
    </row>
    <row r="394" customFormat="false" ht="15" hidden="false" customHeight="false" outlineLevel="0" collapsed="false">
      <c r="A394" s="0" t="s">
        <v>890</v>
      </c>
      <c r="B394" s="0" t="s">
        <v>31</v>
      </c>
      <c r="C394" s="2" t="s">
        <v>584</v>
      </c>
      <c r="D394" s="2" t="s">
        <v>891</v>
      </c>
      <c r="E394" s="3" t="s">
        <v>39</v>
      </c>
      <c r="F394" s="3" t="s">
        <v>29</v>
      </c>
      <c r="G394" s="0" t="n">
        <v>1934</v>
      </c>
      <c r="H394" s="4" t="n">
        <v>25.86</v>
      </c>
      <c r="I394" s="4" t="n">
        <v>25.6</v>
      </c>
      <c r="J394" s="0" t="n">
        <v>78</v>
      </c>
      <c r="K394" s="3" t="s">
        <v>24</v>
      </c>
      <c r="L394" s="3" t="n">
        <f aca="false">IF(D394="","",IF(D394-C394&lt;0,"",D394-C394))</f>
        <v>6</v>
      </c>
      <c r="M394" s="4" t="n">
        <f aca="false">G394*I394</f>
        <v>49510.4</v>
      </c>
      <c r="N394" s="5" t="n">
        <f aca="false">IF(J394="","",J394/G394*100)</f>
        <v>4.03309203722854</v>
      </c>
      <c r="O394" s="5" t="n">
        <f aca="false">(H394-I394)/H394*100</f>
        <v>1.00541376643464</v>
      </c>
      <c r="P394" s="3" t="n">
        <f aca="false">IF(OR(F394="Delivered",F394="Partially Delivered"),1,0)</f>
        <v>1</v>
      </c>
      <c r="Q394" s="3" t="n">
        <f aca="false">IF(F394="Cancelled",1,0)</f>
        <v>0</v>
      </c>
      <c r="R394" s="3" t="n">
        <f aca="false">IF(K394="Yes",1,0)</f>
        <v>1</v>
      </c>
    </row>
    <row r="395" customFormat="false" ht="15" hidden="false" customHeight="false" outlineLevel="0" collapsed="false">
      <c r="A395" s="0" t="s">
        <v>892</v>
      </c>
      <c r="B395" s="0" t="s">
        <v>19</v>
      </c>
      <c r="C395" s="2" t="s">
        <v>893</v>
      </c>
      <c r="D395" s="2" t="s">
        <v>894</v>
      </c>
      <c r="E395" s="3" t="s">
        <v>22</v>
      </c>
      <c r="F395" s="3" t="s">
        <v>29</v>
      </c>
      <c r="G395" s="0" t="n">
        <v>963</v>
      </c>
      <c r="H395" s="4" t="n">
        <v>64.96</v>
      </c>
      <c r="I395" s="4" t="n">
        <v>64.07</v>
      </c>
      <c r="J395" s="0" t="n">
        <v>20</v>
      </c>
      <c r="K395" s="3" t="s">
        <v>24</v>
      </c>
      <c r="L395" s="3" t="n">
        <f aca="false">IF(D395="","",IF(D395-C395&lt;0,"",D395-C395))</f>
        <v>4</v>
      </c>
      <c r="M395" s="4" t="n">
        <f aca="false">G395*I395</f>
        <v>61699.41</v>
      </c>
      <c r="N395" s="5" t="n">
        <f aca="false">IF(J395="","",J395/G395*100)</f>
        <v>2.07684319833853</v>
      </c>
      <c r="O395" s="5" t="n">
        <f aca="false">(H395-I395)/H395*100</f>
        <v>1.37007389162562</v>
      </c>
      <c r="P395" s="3" t="n">
        <f aca="false">IF(OR(F395="Delivered",F395="Partially Delivered"),1,0)</f>
        <v>1</v>
      </c>
      <c r="Q395" s="3" t="n">
        <f aca="false">IF(F395="Cancelled",1,0)</f>
        <v>0</v>
      </c>
      <c r="R395" s="3" t="n">
        <f aca="false">IF(K395="Yes",1,0)</f>
        <v>1</v>
      </c>
    </row>
    <row r="396" customFormat="false" ht="15" hidden="false" customHeight="false" outlineLevel="0" collapsed="false">
      <c r="A396" s="0" t="s">
        <v>895</v>
      </c>
      <c r="B396" s="0" t="s">
        <v>31</v>
      </c>
      <c r="C396" s="2" t="s">
        <v>896</v>
      </c>
      <c r="D396" s="2" t="s">
        <v>245</v>
      </c>
      <c r="E396" s="3" t="s">
        <v>34</v>
      </c>
      <c r="F396" s="3" t="s">
        <v>29</v>
      </c>
      <c r="G396" s="0" t="n">
        <v>1969</v>
      </c>
      <c r="H396" s="4" t="n">
        <v>71.71</v>
      </c>
      <c r="I396" s="4" t="n">
        <v>61.96</v>
      </c>
      <c r="K396" s="3" t="s">
        <v>24</v>
      </c>
      <c r="L396" s="3" t="n">
        <f aca="false">IF(D396="","",IF(D396-C396&lt;0,"",D396-C396))</f>
        <v>7</v>
      </c>
      <c r="M396" s="4" t="n">
        <f aca="false">G396*I396</f>
        <v>121999.24</v>
      </c>
      <c r="N396" s="5" t="str">
        <f aca="false">IF(J396="","",J396/G396*100)</f>
        <v/>
      </c>
      <c r="O396" s="5" t="n">
        <f aca="false">(H396-I396)/H396*100</f>
        <v>13.5964300655418</v>
      </c>
      <c r="P396" s="3" t="n">
        <f aca="false">IF(OR(F396="Delivered",F396="Partially Delivered"),1,0)</f>
        <v>1</v>
      </c>
      <c r="Q396" s="3" t="n">
        <f aca="false">IF(F396="Cancelled",1,0)</f>
        <v>0</v>
      </c>
      <c r="R396" s="3" t="n">
        <f aca="false">IF(K396="Yes",1,0)</f>
        <v>1</v>
      </c>
    </row>
    <row r="397" customFormat="false" ht="15" hidden="false" customHeight="false" outlineLevel="0" collapsed="false">
      <c r="A397" s="0" t="s">
        <v>897</v>
      </c>
      <c r="B397" s="0" t="s">
        <v>26</v>
      </c>
      <c r="C397" s="2" t="s">
        <v>155</v>
      </c>
      <c r="D397" s="2"/>
      <c r="E397" s="3" t="s">
        <v>71</v>
      </c>
      <c r="F397" s="3" t="s">
        <v>29</v>
      </c>
      <c r="G397" s="0" t="n">
        <v>927</v>
      </c>
      <c r="H397" s="4" t="n">
        <v>48.89</v>
      </c>
      <c r="I397" s="4" t="n">
        <v>46.05</v>
      </c>
      <c r="J397" s="0" t="n">
        <v>138</v>
      </c>
      <c r="K397" s="3" t="s">
        <v>24</v>
      </c>
      <c r="L397" s="0" t="str">
        <f aca="false">IF(D397="","",IF(D397-C397&lt;0,"",D397-C397))</f>
        <v/>
      </c>
      <c r="M397" s="4" t="n">
        <f aca="false">G397*I397</f>
        <v>42688.35</v>
      </c>
      <c r="N397" s="5" t="n">
        <f aca="false">IF(J397="","",J397/G397*100)</f>
        <v>14.8867313915858</v>
      </c>
      <c r="O397" s="5" t="n">
        <f aca="false">(H397-I397)/H397*100</f>
        <v>5.80895888729802</v>
      </c>
      <c r="P397" s="3" t="n">
        <f aca="false">IF(OR(F397="Delivered",F397="Partially Delivered"),1,0)</f>
        <v>1</v>
      </c>
      <c r="Q397" s="3" t="n">
        <f aca="false">IF(F397="Cancelled",1,0)</f>
        <v>0</v>
      </c>
      <c r="R397" s="3" t="n">
        <f aca="false">IF(K397="Yes",1,0)</f>
        <v>1</v>
      </c>
    </row>
    <row r="398" customFormat="false" ht="15" hidden="false" customHeight="false" outlineLevel="0" collapsed="false">
      <c r="A398" s="0" t="s">
        <v>898</v>
      </c>
      <c r="B398" s="0" t="s">
        <v>26</v>
      </c>
      <c r="C398" s="2" t="s">
        <v>828</v>
      </c>
      <c r="D398" s="2" t="s">
        <v>50</v>
      </c>
      <c r="E398" s="3" t="s">
        <v>43</v>
      </c>
      <c r="F398" s="3" t="s">
        <v>23</v>
      </c>
      <c r="G398" s="0" t="n">
        <v>387</v>
      </c>
      <c r="H398" s="4" t="n">
        <v>77.81</v>
      </c>
      <c r="I398" s="4" t="n">
        <v>69.04</v>
      </c>
      <c r="J398" s="0" t="n">
        <v>67</v>
      </c>
      <c r="K398" s="3" t="s">
        <v>24</v>
      </c>
      <c r="L398" s="3" t="n">
        <f aca="false">IF(D398="","",IF(D398-C398&lt;0,"",D398-C398))</f>
        <v>5</v>
      </c>
      <c r="M398" s="4" t="n">
        <f aca="false">G398*I398</f>
        <v>26718.48</v>
      </c>
      <c r="N398" s="5" t="n">
        <f aca="false">IF(J398="","",J398/G398*100)</f>
        <v>17.312661498708</v>
      </c>
      <c r="O398" s="5" t="n">
        <f aca="false">(H398-I398)/H398*100</f>
        <v>11.2710448528467</v>
      </c>
      <c r="P398" s="3" t="n">
        <f aca="false">IF(OR(F398="Delivered",F398="Partially Delivered"),1,0)</f>
        <v>0</v>
      </c>
      <c r="Q398" s="3" t="n">
        <f aca="false">IF(F398="Cancelled",1,0)</f>
        <v>1</v>
      </c>
      <c r="R398" s="3" t="n">
        <f aca="false">IF(K398="Yes",1,0)</f>
        <v>1</v>
      </c>
    </row>
    <row r="399" customFormat="false" ht="15" hidden="false" customHeight="false" outlineLevel="0" collapsed="false">
      <c r="A399" s="0" t="s">
        <v>899</v>
      </c>
      <c r="B399" s="0" t="s">
        <v>36</v>
      </c>
      <c r="C399" s="2" t="s">
        <v>164</v>
      </c>
      <c r="D399" s="2" t="s">
        <v>900</v>
      </c>
      <c r="E399" s="3" t="s">
        <v>71</v>
      </c>
      <c r="F399" s="3" t="s">
        <v>29</v>
      </c>
      <c r="G399" s="0" t="n">
        <v>1779</v>
      </c>
      <c r="H399" s="4" t="n">
        <v>97.86</v>
      </c>
      <c r="I399" s="4" t="n">
        <v>94.36</v>
      </c>
      <c r="J399" s="0" t="n">
        <v>176</v>
      </c>
      <c r="K399" s="3" t="s">
        <v>24</v>
      </c>
      <c r="L399" s="3" t="n">
        <f aca="false">IF(D399="","",IF(D399-C399&lt;0,"",D399-C399))</f>
        <v>5</v>
      </c>
      <c r="M399" s="4" t="n">
        <f aca="false">G399*I399</f>
        <v>167866.44</v>
      </c>
      <c r="N399" s="5" t="n">
        <f aca="false">IF(J399="","",J399/G399*100)</f>
        <v>9.89319842608207</v>
      </c>
      <c r="O399" s="5" t="n">
        <f aca="false">(H399-I399)/H399*100</f>
        <v>3.57653791130186</v>
      </c>
      <c r="P399" s="3" t="n">
        <f aca="false">IF(OR(F399="Delivered",F399="Partially Delivered"),1,0)</f>
        <v>1</v>
      </c>
      <c r="Q399" s="3" t="n">
        <f aca="false">IF(F399="Cancelled",1,0)</f>
        <v>0</v>
      </c>
      <c r="R399" s="3" t="n">
        <f aca="false">IF(K399="Yes",1,0)</f>
        <v>1</v>
      </c>
    </row>
    <row r="400" customFormat="false" ht="15" hidden="false" customHeight="false" outlineLevel="0" collapsed="false">
      <c r="A400" s="0" t="s">
        <v>901</v>
      </c>
      <c r="B400" s="0" t="s">
        <v>31</v>
      </c>
      <c r="C400" s="2" t="s">
        <v>54</v>
      </c>
      <c r="D400" s="2" t="s">
        <v>28</v>
      </c>
      <c r="E400" s="3" t="s">
        <v>34</v>
      </c>
      <c r="F400" s="3" t="s">
        <v>62</v>
      </c>
      <c r="G400" s="0" t="n">
        <v>871</v>
      </c>
      <c r="H400" s="4" t="n">
        <v>94.7</v>
      </c>
      <c r="I400" s="4" t="n">
        <v>92.66</v>
      </c>
      <c r="J400" s="0" t="n">
        <v>46</v>
      </c>
      <c r="K400" s="3" t="s">
        <v>24</v>
      </c>
      <c r="L400" s="3" t="n">
        <f aca="false">IF(D400="","",IF(D400-C400&lt;0,"",D400-C400))</f>
        <v>6</v>
      </c>
      <c r="M400" s="4" t="n">
        <f aca="false">G400*I400</f>
        <v>80706.86</v>
      </c>
      <c r="N400" s="5" t="n">
        <f aca="false">IF(J400="","",J400/G400*100)</f>
        <v>5.2812858783008</v>
      </c>
      <c r="O400" s="5" t="n">
        <f aca="false">(H400-I400)/H400*100</f>
        <v>2.15417106652588</v>
      </c>
      <c r="P400" s="3" t="n">
        <f aca="false">IF(OR(F400="Delivered",F400="Partially Delivered"),1,0)</f>
        <v>0</v>
      </c>
      <c r="Q400" s="3" t="n">
        <f aca="false">IF(F400="Cancelled",1,0)</f>
        <v>0</v>
      </c>
      <c r="R400" s="3" t="n">
        <f aca="false">IF(K400="Yes",1,0)</f>
        <v>1</v>
      </c>
    </row>
    <row r="401" customFormat="false" ht="15" hidden="false" customHeight="false" outlineLevel="0" collapsed="false">
      <c r="A401" s="0" t="s">
        <v>902</v>
      </c>
      <c r="B401" s="0" t="s">
        <v>46</v>
      </c>
      <c r="C401" s="2" t="s">
        <v>669</v>
      </c>
      <c r="D401" s="2" t="s">
        <v>376</v>
      </c>
      <c r="E401" s="3" t="s">
        <v>71</v>
      </c>
      <c r="F401" s="3" t="s">
        <v>29</v>
      </c>
      <c r="G401" s="0" t="n">
        <v>1236</v>
      </c>
      <c r="H401" s="4" t="n">
        <v>51.33</v>
      </c>
      <c r="I401" s="4" t="n">
        <v>44.03</v>
      </c>
      <c r="J401" s="0" t="n">
        <v>25</v>
      </c>
      <c r="K401" s="3" t="s">
        <v>24</v>
      </c>
      <c r="L401" s="3" t="n">
        <f aca="false">IF(D401="","",IF(D401-C401&lt;0,"",D401-C401))</f>
        <v>3</v>
      </c>
      <c r="M401" s="4" t="n">
        <f aca="false">G401*I401</f>
        <v>54421.08</v>
      </c>
      <c r="N401" s="5" t="n">
        <f aca="false">IF(J401="","",J401/G401*100)</f>
        <v>2.02265372168285</v>
      </c>
      <c r="O401" s="5" t="n">
        <f aca="false">(H401-I401)/H401*100</f>
        <v>14.221702707968</v>
      </c>
      <c r="P401" s="3" t="n">
        <f aca="false">IF(OR(F401="Delivered",F401="Partially Delivered"),1,0)</f>
        <v>1</v>
      </c>
      <c r="Q401" s="3" t="n">
        <f aca="false">IF(F401="Cancelled",1,0)</f>
        <v>0</v>
      </c>
      <c r="R401" s="3" t="n">
        <f aca="false">IF(K401="Yes",1,0)</f>
        <v>1</v>
      </c>
    </row>
    <row r="402" customFormat="false" ht="15" hidden="false" customHeight="false" outlineLevel="0" collapsed="false">
      <c r="A402" s="0" t="s">
        <v>903</v>
      </c>
      <c r="B402" s="0" t="s">
        <v>26</v>
      </c>
      <c r="C402" s="2" t="s">
        <v>408</v>
      </c>
      <c r="D402" s="2" t="s">
        <v>504</v>
      </c>
      <c r="E402" s="3" t="s">
        <v>71</v>
      </c>
      <c r="F402" s="3" t="s">
        <v>29</v>
      </c>
      <c r="G402" s="0" t="n">
        <v>1793</v>
      </c>
      <c r="H402" s="4" t="n">
        <v>22.01</v>
      </c>
      <c r="I402" s="4" t="n">
        <v>21.78</v>
      </c>
      <c r="J402" s="0" t="n">
        <v>285</v>
      </c>
      <c r="K402" s="3" t="s">
        <v>24</v>
      </c>
      <c r="L402" s="3" t="n">
        <f aca="false">IF(D402="","",IF(D402-C402&lt;0,"",D402-C402))</f>
        <v>16</v>
      </c>
      <c r="M402" s="4" t="n">
        <f aca="false">G402*I402</f>
        <v>39051.54</v>
      </c>
      <c r="N402" s="5" t="n">
        <f aca="false">IF(J402="","",J402/G402*100)</f>
        <v>15.8951477969883</v>
      </c>
      <c r="O402" s="5" t="n">
        <f aca="false">(H402-I402)/H402*100</f>
        <v>1.04497955474784</v>
      </c>
      <c r="P402" s="3" t="n">
        <f aca="false">IF(OR(F402="Delivered",F402="Partially Delivered"),1,0)</f>
        <v>1</v>
      </c>
      <c r="Q402" s="3" t="n">
        <f aca="false">IF(F402="Cancelled",1,0)</f>
        <v>0</v>
      </c>
      <c r="R402" s="3" t="n">
        <f aca="false">IF(K402="Yes",1,0)</f>
        <v>1</v>
      </c>
    </row>
    <row r="403" customFormat="false" ht="15" hidden="false" customHeight="false" outlineLevel="0" collapsed="false">
      <c r="A403" s="0" t="s">
        <v>904</v>
      </c>
      <c r="B403" s="0" t="s">
        <v>26</v>
      </c>
      <c r="C403" s="2" t="s">
        <v>139</v>
      </c>
      <c r="D403" s="2" t="s">
        <v>470</v>
      </c>
      <c r="E403" s="3" t="s">
        <v>34</v>
      </c>
      <c r="F403" s="3" t="s">
        <v>29</v>
      </c>
      <c r="G403" s="0" t="n">
        <v>1006</v>
      </c>
      <c r="H403" s="4" t="n">
        <v>101.1</v>
      </c>
      <c r="I403" s="4" t="n">
        <v>89.04</v>
      </c>
      <c r="J403" s="0" t="n">
        <v>139</v>
      </c>
      <c r="K403" s="3" t="s">
        <v>24</v>
      </c>
      <c r="L403" s="3" t="n">
        <f aca="false">IF(D403="","",IF(D403-C403&lt;0,"",D403-C403))</f>
        <v>19</v>
      </c>
      <c r="M403" s="4" t="n">
        <f aca="false">G403*I403</f>
        <v>89574.24</v>
      </c>
      <c r="N403" s="5" t="n">
        <f aca="false">IF(J403="","",J403/G403*100)</f>
        <v>13.817097415507</v>
      </c>
      <c r="O403" s="5" t="n">
        <f aca="false">(H403-I403)/H403*100</f>
        <v>11.9287833827893</v>
      </c>
      <c r="P403" s="3" t="n">
        <f aca="false">IF(OR(F403="Delivered",F403="Partially Delivered"),1,0)</f>
        <v>1</v>
      </c>
      <c r="Q403" s="3" t="n">
        <f aca="false">IF(F403="Cancelled",1,0)</f>
        <v>0</v>
      </c>
      <c r="R403" s="3" t="n">
        <f aca="false">IF(K403="Yes",1,0)</f>
        <v>1</v>
      </c>
    </row>
    <row r="404" customFormat="false" ht="15" hidden="false" customHeight="false" outlineLevel="0" collapsed="false">
      <c r="A404" s="0" t="s">
        <v>905</v>
      </c>
      <c r="B404" s="0" t="s">
        <v>36</v>
      </c>
      <c r="C404" s="2" t="s">
        <v>906</v>
      </c>
      <c r="D404" s="2" t="s">
        <v>907</v>
      </c>
      <c r="E404" s="3" t="s">
        <v>71</v>
      </c>
      <c r="F404" s="3" t="s">
        <v>23</v>
      </c>
      <c r="G404" s="0" t="n">
        <v>1754</v>
      </c>
      <c r="H404" s="4" t="n">
        <v>89.35</v>
      </c>
      <c r="I404" s="4" t="n">
        <v>86.54</v>
      </c>
      <c r="J404" s="0" t="n">
        <v>161</v>
      </c>
      <c r="K404" s="3" t="s">
        <v>44</v>
      </c>
      <c r="L404" s="3" t="n">
        <f aca="false">IF(D404="","",IF(D404-C404&lt;0,"",D404-C404))</f>
        <v>15</v>
      </c>
      <c r="M404" s="4" t="n">
        <f aca="false">G404*I404</f>
        <v>151791.16</v>
      </c>
      <c r="N404" s="5" t="n">
        <f aca="false">IF(J404="","",J404/G404*100)</f>
        <v>9.17901938426454</v>
      </c>
      <c r="O404" s="5" t="n">
        <f aca="false">(H404-I404)/H404*100</f>
        <v>3.14493564633463</v>
      </c>
      <c r="P404" s="3" t="n">
        <f aca="false">IF(OR(F404="Delivered",F404="Partially Delivered"),1,0)</f>
        <v>0</v>
      </c>
      <c r="Q404" s="3" t="n">
        <f aca="false">IF(F404="Cancelled",1,0)</f>
        <v>1</v>
      </c>
      <c r="R404" s="3" t="n">
        <f aca="false">IF(K404="Yes",1,0)</f>
        <v>0</v>
      </c>
    </row>
    <row r="405" customFormat="false" ht="15" hidden="false" customHeight="false" outlineLevel="0" collapsed="false">
      <c r="A405" s="0" t="s">
        <v>908</v>
      </c>
      <c r="B405" s="0" t="s">
        <v>46</v>
      </c>
      <c r="C405" s="2" t="s">
        <v>909</v>
      </c>
      <c r="D405" s="2" t="s">
        <v>832</v>
      </c>
      <c r="E405" s="3" t="s">
        <v>71</v>
      </c>
      <c r="F405" s="3" t="s">
        <v>29</v>
      </c>
      <c r="G405" s="0" t="n">
        <v>210</v>
      </c>
      <c r="H405" s="4" t="n">
        <v>22.17</v>
      </c>
      <c r="I405" s="4" t="n">
        <v>21.32</v>
      </c>
      <c r="J405" s="0" t="n">
        <v>10</v>
      </c>
      <c r="K405" s="3" t="s">
        <v>24</v>
      </c>
      <c r="L405" s="3" t="n">
        <f aca="false">IF(D405="","",IF(D405-C405&lt;0,"",D405-C405))</f>
        <v>19</v>
      </c>
      <c r="M405" s="4" t="n">
        <f aca="false">G405*I405</f>
        <v>4477.2</v>
      </c>
      <c r="N405" s="5" t="n">
        <f aca="false">IF(J405="","",J405/G405*100)</f>
        <v>4.76190476190476</v>
      </c>
      <c r="O405" s="5" t="n">
        <f aca="false">(H405-I405)/H405*100</f>
        <v>3.83400992331981</v>
      </c>
      <c r="P405" s="3" t="n">
        <f aca="false">IF(OR(F405="Delivered",F405="Partially Delivered"),1,0)</f>
        <v>1</v>
      </c>
      <c r="Q405" s="3" t="n">
        <f aca="false">IF(F405="Cancelled",1,0)</f>
        <v>0</v>
      </c>
      <c r="R405" s="3" t="n">
        <f aca="false">IF(K405="Yes",1,0)</f>
        <v>1</v>
      </c>
    </row>
    <row r="406" customFormat="false" ht="15" hidden="false" customHeight="false" outlineLevel="0" collapsed="false">
      <c r="A406" s="0" t="s">
        <v>910</v>
      </c>
      <c r="B406" s="0" t="s">
        <v>26</v>
      </c>
      <c r="C406" s="2" t="s">
        <v>911</v>
      </c>
      <c r="D406" s="2" t="s">
        <v>912</v>
      </c>
      <c r="E406" s="3" t="s">
        <v>34</v>
      </c>
      <c r="F406" s="3" t="s">
        <v>29</v>
      </c>
      <c r="G406" s="0" t="n">
        <v>1653</v>
      </c>
      <c r="H406" s="4" t="n">
        <v>102.16</v>
      </c>
      <c r="I406" s="4" t="n">
        <v>91.91</v>
      </c>
      <c r="J406" s="0" t="n">
        <v>217</v>
      </c>
      <c r="K406" s="3" t="s">
        <v>24</v>
      </c>
      <c r="L406" s="3" t="n">
        <f aca="false">IF(D406="","",IF(D406-C406&lt;0,"",D406-C406))</f>
        <v>20</v>
      </c>
      <c r="M406" s="4" t="n">
        <f aca="false">G406*I406</f>
        <v>151927.23</v>
      </c>
      <c r="N406" s="5" t="n">
        <f aca="false">IF(J406="","",J406/G406*100)</f>
        <v>13.1276467029643</v>
      </c>
      <c r="O406" s="5" t="n">
        <f aca="false">(H406-I406)/H406*100</f>
        <v>10.0332811276429</v>
      </c>
      <c r="P406" s="3" t="n">
        <f aca="false">IF(OR(F406="Delivered",F406="Partially Delivered"),1,0)</f>
        <v>1</v>
      </c>
      <c r="Q406" s="3" t="n">
        <f aca="false">IF(F406="Cancelled",1,0)</f>
        <v>0</v>
      </c>
      <c r="R406" s="3" t="n">
        <f aca="false">IF(K406="Yes",1,0)</f>
        <v>1</v>
      </c>
    </row>
    <row r="407" customFormat="false" ht="15" hidden="false" customHeight="false" outlineLevel="0" collapsed="false">
      <c r="A407" s="0" t="s">
        <v>913</v>
      </c>
      <c r="B407" s="0" t="s">
        <v>19</v>
      </c>
      <c r="C407" s="2" t="s">
        <v>914</v>
      </c>
      <c r="D407" s="2" t="s">
        <v>321</v>
      </c>
      <c r="E407" s="3" t="s">
        <v>34</v>
      </c>
      <c r="F407" s="3" t="s">
        <v>58</v>
      </c>
      <c r="G407" s="0" t="n">
        <v>850</v>
      </c>
      <c r="H407" s="4" t="n">
        <v>91.38</v>
      </c>
      <c r="I407" s="4" t="n">
        <v>88.41</v>
      </c>
      <c r="J407" s="0" t="n">
        <v>24</v>
      </c>
      <c r="K407" s="3" t="s">
        <v>24</v>
      </c>
      <c r="L407" s="3" t="n">
        <f aca="false">IF(D407="","",IF(D407-C407&lt;0,"",D407-C407))</f>
        <v>11</v>
      </c>
      <c r="M407" s="4" t="n">
        <f aca="false">G407*I407</f>
        <v>75148.5</v>
      </c>
      <c r="N407" s="5" t="n">
        <f aca="false">IF(J407="","",J407/G407*100)</f>
        <v>2.82352941176471</v>
      </c>
      <c r="O407" s="5" t="n">
        <f aca="false">(H407-I407)/H407*100</f>
        <v>3.25016414970453</v>
      </c>
      <c r="P407" s="3" t="n">
        <f aca="false">IF(OR(F407="Delivered",F407="Partially Delivered"),1,0)</f>
        <v>1</v>
      </c>
      <c r="Q407" s="3" t="n">
        <f aca="false">IF(F407="Cancelled",1,0)</f>
        <v>0</v>
      </c>
      <c r="R407" s="3" t="n">
        <f aca="false">IF(K407="Yes",1,0)</f>
        <v>1</v>
      </c>
    </row>
    <row r="408" customFormat="false" ht="15" hidden="false" customHeight="false" outlineLevel="0" collapsed="false">
      <c r="A408" s="0" t="s">
        <v>915</v>
      </c>
      <c r="B408" s="0" t="s">
        <v>46</v>
      </c>
      <c r="C408" s="2" t="s">
        <v>576</v>
      </c>
      <c r="D408" s="2" t="s">
        <v>916</v>
      </c>
      <c r="E408" s="3" t="s">
        <v>43</v>
      </c>
      <c r="F408" s="3" t="s">
        <v>29</v>
      </c>
      <c r="G408" s="0" t="n">
        <v>447</v>
      </c>
      <c r="H408" s="4" t="n">
        <v>59.81</v>
      </c>
      <c r="I408" s="4" t="n">
        <v>57.92</v>
      </c>
      <c r="J408" s="0" t="n">
        <v>13</v>
      </c>
      <c r="K408" s="3" t="s">
        <v>24</v>
      </c>
      <c r="L408" s="3" t="n">
        <f aca="false">IF(D408="","",IF(D408-C408&lt;0,"",D408-C408))</f>
        <v>3</v>
      </c>
      <c r="M408" s="4" t="n">
        <f aca="false">G408*I408</f>
        <v>25890.24</v>
      </c>
      <c r="N408" s="5" t="n">
        <f aca="false">IF(J408="","",J408/G408*100)</f>
        <v>2.9082774049217</v>
      </c>
      <c r="O408" s="5" t="n">
        <f aca="false">(H408-I408)/H408*100</f>
        <v>3.16000668784484</v>
      </c>
      <c r="P408" s="3" t="n">
        <f aca="false">IF(OR(F408="Delivered",F408="Partially Delivered"),1,0)</f>
        <v>1</v>
      </c>
      <c r="Q408" s="3" t="n">
        <f aca="false">IF(F408="Cancelled",1,0)</f>
        <v>0</v>
      </c>
      <c r="R408" s="3" t="n">
        <f aca="false">IF(K408="Yes",1,0)</f>
        <v>1</v>
      </c>
    </row>
    <row r="409" customFormat="false" ht="15" hidden="false" customHeight="false" outlineLevel="0" collapsed="false">
      <c r="A409" s="0" t="s">
        <v>917</v>
      </c>
      <c r="B409" s="0" t="s">
        <v>31</v>
      </c>
      <c r="C409" s="2" t="s">
        <v>463</v>
      </c>
      <c r="D409" s="2" t="s">
        <v>722</v>
      </c>
      <c r="E409" s="3" t="s">
        <v>22</v>
      </c>
      <c r="F409" s="3" t="s">
        <v>29</v>
      </c>
      <c r="G409" s="0" t="n">
        <v>1350</v>
      </c>
      <c r="H409" s="4" t="n">
        <v>65.11</v>
      </c>
      <c r="I409" s="4" t="n">
        <v>56.95</v>
      </c>
      <c r="J409" s="0" t="n">
        <v>71</v>
      </c>
      <c r="K409" s="3" t="s">
        <v>24</v>
      </c>
      <c r="L409" s="3" t="n">
        <f aca="false">IF(D409="","",IF(D409-C409&lt;0,"",D409-C409))</f>
        <v>10</v>
      </c>
      <c r="M409" s="4" t="n">
        <f aca="false">G409*I409</f>
        <v>76882.5</v>
      </c>
      <c r="N409" s="5" t="n">
        <f aca="false">IF(J409="","",J409/G409*100)</f>
        <v>5.25925925925926</v>
      </c>
      <c r="O409" s="5" t="n">
        <f aca="false">(H409-I409)/H409*100</f>
        <v>12.532637075718</v>
      </c>
      <c r="P409" s="3" t="n">
        <f aca="false">IF(OR(F409="Delivered",F409="Partially Delivered"),1,0)</f>
        <v>1</v>
      </c>
      <c r="Q409" s="3" t="n">
        <f aca="false">IF(F409="Cancelled",1,0)</f>
        <v>0</v>
      </c>
      <c r="R409" s="3" t="n">
        <f aca="false">IF(K409="Yes",1,0)</f>
        <v>1</v>
      </c>
    </row>
    <row r="410" customFormat="false" ht="15" hidden="false" customHeight="false" outlineLevel="0" collapsed="false">
      <c r="A410" s="0" t="s">
        <v>918</v>
      </c>
      <c r="B410" s="0" t="s">
        <v>36</v>
      </c>
      <c r="C410" s="2" t="s">
        <v>788</v>
      </c>
      <c r="D410" s="2" t="s">
        <v>919</v>
      </c>
      <c r="E410" s="3" t="s">
        <v>22</v>
      </c>
      <c r="F410" s="3" t="s">
        <v>29</v>
      </c>
      <c r="G410" s="0" t="n">
        <v>865</v>
      </c>
      <c r="H410" s="4" t="n">
        <v>51.19</v>
      </c>
      <c r="I410" s="4" t="n">
        <v>47.76</v>
      </c>
      <c r="J410" s="0" t="n">
        <v>83</v>
      </c>
      <c r="K410" s="3" t="s">
        <v>24</v>
      </c>
      <c r="L410" s="3" t="n">
        <f aca="false">IF(D410="","",IF(D410-C410&lt;0,"",D410-C410))</f>
        <v>19</v>
      </c>
      <c r="M410" s="4" t="n">
        <f aca="false">G410*I410</f>
        <v>41312.4</v>
      </c>
      <c r="N410" s="5" t="n">
        <f aca="false">IF(J410="","",J410/G410*100)</f>
        <v>9.59537572254335</v>
      </c>
      <c r="O410" s="5" t="n">
        <f aca="false">(H410-I410)/H410*100</f>
        <v>6.70052744676695</v>
      </c>
      <c r="P410" s="3" t="n">
        <f aca="false">IF(OR(F410="Delivered",F410="Partially Delivered"),1,0)</f>
        <v>1</v>
      </c>
      <c r="Q410" s="3" t="n">
        <f aca="false">IF(F410="Cancelled",1,0)</f>
        <v>0</v>
      </c>
      <c r="R410" s="3" t="n">
        <f aca="false">IF(K410="Yes",1,0)</f>
        <v>1</v>
      </c>
    </row>
    <row r="411" customFormat="false" ht="15" hidden="false" customHeight="false" outlineLevel="0" collapsed="false">
      <c r="A411" s="0" t="s">
        <v>920</v>
      </c>
      <c r="B411" s="0" t="s">
        <v>19</v>
      </c>
      <c r="C411" s="2" t="s">
        <v>921</v>
      </c>
      <c r="D411" s="2" t="s">
        <v>922</v>
      </c>
      <c r="E411" s="3" t="s">
        <v>34</v>
      </c>
      <c r="F411" s="3" t="s">
        <v>29</v>
      </c>
      <c r="G411" s="0" t="n">
        <v>1989</v>
      </c>
      <c r="H411" s="4" t="n">
        <v>16.5</v>
      </c>
      <c r="I411" s="4" t="n">
        <v>15.89</v>
      </c>
      <c r="J411" s="0" t="n">
        <v>57</v>
      </c>
      <c r="K411" s="3" t="s">
        <v>24</v>
      </c>
      <c r="L411" s="3" t="n">
        <f aca="false">IF(D411="","",IF(D411-C411&lt;0,"",D411-C411))</f>
        <v>17</v>
      </c>
      <c r="M411" s="4" t="n">
        <f aca="false">G411*I411</f>
        <v>31605.21</v>
      </c>
      <c r="N411" s="5" t="n">
        <f aca="false">IF(J411="","",J411/G411*100)</f>
        <v>2.8657616892911</v>
      </c>
      <c r="O411" s="5" t="n">
        <f aca="false">(H411-I411)/H411*100</f>
        <v>3.69696969696969</v>
      </c>
      <c r="P411" s="3" t="n">
        <f aca="false">IF(OR(F411="Delivered",F411="Partially Delivered"),1,0)</f>
        <v>1</v>
      </c>
      <c r="Q411" s="3" t="n">
        <f aca="false">IF(F411="Cancelled",1,0)</f>
        <v>0</v>
      </c>
      <c r="R411" s="3" t="n">
        <f aca="false">IF(K411="Yes",1,0)</f>
        <v>1</v>
      </c>
    </row>
    <row r="412" customFormat="false" ht="15" hidden="false" customHeight="false" outlineLevel="0" collapsed="false">
      <c r="A412" s="0" t="s">
        <v>923</v>
      </c>
      <c r="B412" s="0" t="s">
        <v>19</v>
      </c>
      <c r="C412" s="2" t="s">
        <v>164</v>
      </c>
      <c r="D412" s="2" t="s">
        <v>337</v>
      </c>
      <c r="E412" s="3" t="s">
        <v>22</v>
      </c>
      <c r="F412" s="3" t="s">
        <v>29</v>
      </c>
      <c r="G412" s="0" t="n">
        <v>1577</v>
      </c>
      <c r="H412" s="4" t="n">
        <v>41.77</v>
      </c>
      <c r="I412" s="4" t="n">
        <v>39.58</v>
      </c>
      <c r="J412" s="0" t="n">
        <v>32</v>
      </c>
      <c r="K412" s="3" t="s">
        <v>24</v>
      </c>
      <c r="L412" s="3" t="n">
        <f aca="false">IF(D412="","",IF(D412-C412&lt;0,"",D412-C412))</f>
        <v>15</v>
      </c>
      <c r="M412" s="4" t="n">
        <f aca="false">G412*I412</f>
        <v>62417.66</v>
      </c>
      <c r="N412" s="5" t="n">
        <f aca="false">IF(J412="","",J412/G412*100)</f>
        <v>2.0291693088142</v>
      </c>
      <c r="O412" s="5" t="n">
        <f aca="false">(H412-I412)/H412*100</f>
        <v>5.24299736653101</v>
      </c>
      <c r="P412" s="3" t="n">
        <f aca="false">IF(OR(F412="Delivered",F412="Partially Delivered"),1,0)</f>
        <v>1</v>
      </c>
      <c r="Q412" s="3" t="n">
        <f aca="false">IF(F412="Cancelled",1,0)</f>
        <v>0</v>
      </c>
      <c r="R412" s="3" t="n">
        <f aca="false">IF(K412="Yes",1,0)</f>
        <v>1</v>
      </c>
    </row>
    <row r="413" customFormat="false" ht="15" hidden="false" customHeight="false" outlineLevel="0" collapsed="false">
      <c r="A413" s="0" t="s">
        <v>924</v>
      </c>
      <c r="B413" s="0" t="s">
        <v>31</v>
      </c>
      <c r="C413" s="2" t="s">
        <v>87</v>
      </c>
      <c r="D413" s="2" t="s">
        <v>448</v>
      </c>
      <c r="E413" s="3" t="s">
        <v>39</v>
      </c>
      <c r="F413" s="3" t="s">
        <v>62</v>
      </c>
      <c r="G413" s="0" t="n">
        <v>1969</v>
      </c>
      <c r="H413" s="4" t="n">
        <v>89.25</v>
      </c>
      <c r="I413" s="4" t="n">
        <v>87.28</v>
      </c>
      <c r="J413" s="0" t="n">
        <v>108</v>
      </c>
      <c r="K413" s="3" t="s">
        <v>44</v>
      </c>
      <c r="L413" s="3" t="n">
        <f aca="false">IF(D413="","",IF(D413-C413&lt;0,"",D413-C413))</f>
        <v>2</v>
      </c>
      <c r="M413" s="4" t="n">
        <f aca="false">G413*I413</f>
        <v>171854.32</v>
      </c>
      <c r="N413" s="5" t="n">
        <f aca="false">IF(J413="","",J413/G413*100)</f>
        <v>5.48501777552057</v>
      </c>
      <c r="O413" s="5" t="n">
        <f aca="false">(H413-I413)/H413*100</f>
        <v>2.20728291316527</v>
      </c>
      <c r="P413" s="3" t="n">
        <f aca="false">IF(OR(F413="Delivered",F413="Partially Delivered"),1,0)</f>
        <v>0</v>
      </c>
      <c r="Q413" s="3" t="n">
        <f aca="false">IF(F413="Cancelled",1,0)</f>
        <v>0</v>
      </c>
      <c r="R413" s="3" t="n">
        <f aca="false">IF(K413="Yes",1,0)</f>
        <v>0</v>
      </c>
    </row>
    <row r="414" customFormat="false" ht="15" hidden="false" customHeight="false" outlineLevel="0" collapsed="false">
      <c r="A414" s="0" t="s">
        <v>925</v>
      </c>
      <c r="B414" s="0" t="s">
        <v>36</v>
      </c>
      <c r="C414" s="2" t="s">
        <v>486</v>
      </c>
      <c r="D414" s="2" t="s">
        <v>616</v>
      </c>
      <c r="E414" s="3" t="s">
        <v>39</v>
      </c>
      <c r="F414" s="3" t="s">
        <v>58</v>
      </c>
      <c r="G414" s="0" t="n">
        <v>1465</v>
      </c>
      <c r="H414" s="4" t="n">
        <v>11.25</v>
      </c>
      <c r="I414" s="4" t="n">
        <v>9.61</v>
      </c>
      <c r="J414" s="0" t="n">
        <v>151</v>
      </c>
      <c r="K414" s="3" t="s">
        <v>24</v>
      </c>
      <c r="L414" s="3" t="n">
        <f aca="false">IF(D414="","",IF(D414-C414&lt;0,"",D414-C414))</f>
        <v>10</v>
      </c>
      <c r="M414" s="4" t="n">
        <f aca="false">G414*I414</f>
        <v>14078.65</v>
      </c>
      <c r="N414" s="5" t="n">
        <f aca="false">IF(J414="","",J414/G414*100)</f>
        <v>10.3071672354949</v>
      </c>
      <c r="O414" s="5" t="n">
        <f aca="false">(H414-I414)/H414*100</f>
        <v>14.5777777777778</v>
      </c>
      <c r="P414" s="3" t="n">
        <f aca="false">IF(OR(F414="Delivered",F414="Partially Delivered"),1,0)</f>
        <v>1</v>
      </c>
      <c r="Q414" s="3" t="n">
        <f aca="false">IF(F414="Cancelled",1,0)</f>
        <v>0</v>
      </c>
      <c r="R414" s="3" t="n">
        <f aca="false">IF(K414="Yes",1,0)</f>
        <v>1</v>
      </c>
    </row>
    <row r="415" customFormat="false" ht="15" hidden="false" customHeight="false" outlineLevel="0" collapsed="false">
      <c r="A415" s="0" t="s">
        <v>926</v>
      </c>
      <c r="B415" s="0" t="s">
        <v>26</v>
      </c>
      <c r="C415" s="2" t="s">
        <v>405</v>
      </c>
      <c r="D415" s="2" t="s">
        <v>927</v>
      </c>
      <c r="E415" s="3" t="s">
        <v>39</v>
      </c>
      <c r="F415" s="3" t="s">
        <v>62</v>
      </c>
      <c r="G415" s="0" t="n">
        <v>1208</v>
      </c>
      <c r="H415" s="4" t="n">
        <v>41.62</v>
      </c>
      <c r="I415" s="4" t="n">
        <v>39.46</v>
      </c>
      <c r="K415" s="3" t="s">
        <v>24</v>
      </c>
      <c r="L415" s="3" t="n">
        <f aca="false">IF(D415="","",IF(D415-C415&lt;0,"",D415-C415))</f>
        <v>3</v>
      </c>
      <c r="M415" s="4" t="n">
        <f aca="false">G415*I415</f>
        <v>47667.68</v>
      </c>
      <c r="N415" s="5" t="str">
        <f aca="false">IF(J415="","",J415/G415*100)</f>
        <v/>
      </c>
      <c r="O415" s="5" t="n">
        <f aca="false">(H415-I415)/H415*100</f>
        <v>5.18981259010091</v>
      </c>
      <c r="P415" s="3" t="n">
        <f aca="false">IF(OR(F415="Delivered",F415="Partially Delivered"),1,0)</f>
        <v>0</v>
      </c>
      <c r="Q415" s="3" t="n">
        <f aca="false">IF(F415="Cancelled",1,0)</f>
        <v>0</v>
      </c>
      <c r="R415" s="3" t="n">
        <f aca="false">IF(K415="Yes",1,0)</f>
        <v>1</v>
      </c>
    </row>
    <row r="416" customFormat="false" ht="15" hidden="false" customHeight="false" outlineLevel="0" collapsed="false">
      <c r="A416" s="0" t="s">
        <v>928</v>
      </c>
      <c r="B416" s="0" t="s">
        <v>36</v>
      </c>
      <c r="C416" s="2" t="s">
        <v>297</v>
      </c>
      <c r="D416" s="2" t="s">
        <v>501</v>
      </c>
      <c r="E416" s="3" t="s">
        <v>43</v>
      </c>
      <c r="F416" s="3" t="s">
        <v>29</v>
      </c>
      <c r="G416" s="0" t="n">
        <v>1268</v>
      </c>
      <c r="H416" s="4" t="n">
        <v>46.06</v>
      </c>
      <c r="I416" s="4" t="n">
        <v>45.26</v>
      </c>
      <c r="J416" s="0" t="n">
        <v>123</v>
      </c>
      <c r="K416" s="3" t="s">
        <v>24</v>
      </c>
      <c r="L416" s="3" t="n">
        <f aca="false">IF(D416="","",IF(D416-C416&lt;0,"",D416-C416))</f>
        <v>17</v>
      </c>
      <c r="M416" s="4" t="n">
        <f aca="false">G416*I416</f>
        <v>57389.68</v>
      </c>
      <c r="N416" s="5" t="n">
        <f aca="false">IF(J416="","",J416/G416*100)</f>
        <v>9.70031545741325</v>
      </c>
      <c r="O416" s="5" t="n">
        <f aca="false">(H416-I416)/H416*100</f>
        <v>1.73686495874947</v>
      </c>
      <c r="P416" s="3" t="n">
        <f aca="false">IF(OR(F416="Delivered",F416="Partially Delivered"),1,0)</f>
        <v>1</v>
      </c>
      <c r="Q416" s="3" t="n">
        <f aca="false">IF(F416="Cancelled",1,0)</f>
        <v>0</v>
      </c>
      <c r="R416" s="3" t="n">
        <f aca="false">IF(K416="Yes",1,0)</f>
        <v>1</v>
      </c>
    </row>
    <row r="417" customFormat="false" ht="15" hidden="false" customHeight="false" outlineLevel="0" collapsed="false">
      <c r="A417" s="0" t="s">
        <v>929</v>
      </c>
      <c r="B417" s="0" t="s">
        <v>26</v>
      </c>
      <c r="C417" s="2" t="s">
        <v>148</v>
      </c>
      <c r="D417" s="2" t="s">
        <v>452</v>
      </c>
      <c r="E417" s="3" t="s">
        <v>22</v>
      </c>
      <c r="F417" s="3" t="s">
        <v>29</v>
      </c>
      <c r="G417" s="0" t="n">
        <v>450</v>
      </c>
      <c r="H417" s="4" t="n">
        <v>59.24</v>
      </c>
      <c r="I417" s="4" t="n">
        <v>55.03</v>
      </c>
      <c r="J417" s="0" t="n">
        <v>68</v>
      </c>
      <c r="K417" s="3" t="s">
        <v>44</v>
      </c>
      <c r="L417" s="3" t="n">
        <f aca="false">IF(D417="","",IF(D417-C417&lt;0,"",D417-C417))</f>
        <v>19</v>
      </c>
      <c r="M417" s="4" t="n">
        <f aca="false">G417*I417</f>
        <v>24763.5</v>
      </c>
      <c r="N417" s="5" t="n">
        <f aca="false">IF(J417="","",J417/G417*100)</f>
        <v>15.1111111111111</v>
      </c>
      <c r="O417" s="5" t="n">
        <f aca="false">(H417-I417)/H417*100</f>
        <v>7.10668467251857</v>
      </c>
      <c r="P417" s="3" t="n">
        <f aca="false">IF(OR(F417="Delivered",F417="Partially Delivered"),1,0)</f>
        <v>1</v>
      </c>
      <c r="Q417" s="3" t="n">
        <f aca="false">IF(F417="Cancelled",1,0)</f>
        <v>0</v>
      </c>
      <c r="R417" s="3" t="n">
        <f aca="false">IF(K417="Yes",1,0)</f>
        <v>0</v>
      </c>
    </row>
    <row r="418" customFormat="false" ht="15" hidden="false" customHeight="false" outlineLevel="0" collapsed="false">
      <c r="A418" s="0" t="s">
        <v>930</v>
      </c>
      <c r="B418" s="0" t="s">
        <v>31</v>
      </c>
      <c r="C418" s="2" t="s">
        <v>921</v>
      </c>
      <c r="D418" s="2" t="s">
        <v>931</v>
      </c>
      <c r="E418" s="3" t="s">
        <v>71</v>
      </c>
      <c r="F418" s="3" t="s">
        <v>58</v>
      </c>
      <c r="G418" s="0" t="n">
        <v>689</v>
      </c>
      <c r="H418" s="4" t="n">
        <v>102.53</v>
      </c>
      <c r="I418" s="4" t="n">
        <v>95.23</v>
      </c>
      <c r="J418" s="0" t="n">
        <v>38</v>
      </c>
      <c r="K418" s="3" t="s">
        <v>24</v>
      </c>
      <c r="L418" s="3" t="n">
        <f aca="false">IF(D418="","",IF(D418-C418&lt;0,"",D418-C418))</f>
        <v>2</v>
      </c>
      <c r="M418" s="4" t="n">
        <f aca="false">G418*I418</f>
        <v>65613.47</v>
      </c>
      <c r="N418" s="5" t="n">
        <f aca="false">IF(J418="","",J418/G418*100)</f>
        <v>5.51523947750363</v>
      </c>
      <c r="O418" s="5" t="n">
        <f aca="false">(H418-I418)/H418*100</f>
        <v>7.11986735589583</v>
      </c>
      <c r="P418" s="3" t="n">
        <f aca="false">IF(OR(F418="Delivered",F418="Partially Delivered"),1,0)</f>
        <v>1</v>
      </c>
      <c r="Q418" s="3" t="n">
        <f aca="false">IF(F418="Cancelled",1,0)</f>
        <v>0</v>
      </c>
      <c r="R418" s="3" t="n">
        <f aca="false">IF(K418="Yes",1,0)</f>
        <v>1</v>
      </c>
    </row>
    <row r="419" customFormat="false" ht="15" hidden="false" customHeight="false" outlineLevel="0" collapsed="false">
      <c r="A419" s="0" t="s">
        <v>932</v>
      </c>
      <c r="B419" s="0" t="s">
        <v>31</v>
      </c>
      <c r="C419" s="2" t="s">
        <v>538</v>
      </c>
      <c r="D419" s="2" t="s">
        <v>687</v>
      </c>
      <c r="E419" s="3" t="s">
        <v>34</v>
      </c>
      <c r="F419" s="3" t="s">
        <v>29</v>
      </c>
      <c r="G419" s="0" t="n">
        <v>1106</v>
      </c>
      <c r="H419" s="4" t="n">
        <v>44.05</v>
      </c>
      <c r="I419" s="4" t="n">
        <v>38.6</v>
      </c>
      <c r="J419" s="0" t="n">
        <v>51</v>
      </c>
      <c r="K419" s="3" t="s">
        <v>24</v>
      </c>
      <c r="L419" s="3" t="n">
        <f aca="false">IF(D419="","",IF(D419-C419&lt;0,"",D419-C419))</f>
        <v>19</v>
      </c>
      <c r="M419" s="4" t="n">
        <f aca="false">G419*I419</f>
        <v>42691.6</v>
      </c>
      <c r="N419" s="5" t="n">
        <f aca="false">IF(J419="","",J419/G419*100)</f>
        <v>4.61121157323689</v>
      </c>
      <c r="O419" s="5" t="n">
        <f aca="false">(H419-I419)/H419*100</f>
        <v>12.372304199773</v>
      </c>
      <c r="P419" s="3" t="n">
        <f aca="false">IF(OR(F419="Delivered",F419="Partially Delivered"),1,0)</f>
        <v>1</v>
      </c>
      <c r="Q419" s="3" t="n">
        <f aca="false">IF(F419="Cancelled",1,0)</f>
        <v>0</v>
      </c>
      <c r="R419" s="3" t="n">
        <f aca="false">IF(K419="Yes",1,0)</f>
        <v>1</v>
      </c>
    </row>
    <row r="420" customFormat="false" ht="15" hidden="false" customHeight="false" outlineLevel="0" collapsed="false">
      <c r="A420" s="0" t="s">
        <v>933</v>
      </c>
      <c r="B420" s="0" t="s">
        <v>19</v>
      </c>
      <c r="C420" s="2" t="s">
        <v>421</v>
      </c>
      <c r="D420" s="2" t="s">
        <v>308</v>
      </c>
      <c r="E420" s="3" t="s">
        <v>22</v>
      </c>
      <c r="F420" s="3" t="s">
        <v>29</v>
      </c>
      <c r="G420" s="0" t="n">
        <v>737</v>
      </c>
      <c r="H420" s="4" t="n">
        <v>43.08</v>
      </c>
      <c r="I420" s="4" t="n">
        <v>42.58</v>
      </c>
      <c r="J420" s="0" t="n">
        <v>21</v>
      </c>
      <c r="K420" s="3" t="s">
        <v>24</v>
      </c>
      <c r="L420" s="3" t="n">
        <f aca="false">IF(D420="","",IF(D420-C420&lt;0,"",D420-C420))</f>
        <v>11</v>
      </c>
      <c r="M420" s="4" t="n">
        <f aca="false">G420*I420</f>
        <v>31381.46</v>
      </c>
      <c r="N420" s="5" t="n">
        <f aca="false">IF(J420="","",J420/G420*100)</f>
        <v>2.8493894165536</v>
      </c>
      <c r="O420" s="5" t="n">
        <f aca="false">(H420-I420)/H420*100</f>
        <v>1.16063138347261</v>
      </c>
      <c r="P420" s="3" t="n">
        <f aca="false">IF(OR(F420="Delivered",F420="Partially Delivered"),1,0)</f>
        <v>1</v>
      </c>
      <c r="Q420" s="3" t="n">
        <f aca="false">IF(F420="Cancelled",1,0)</f>
        <v>0</v>
      </c>
      <c r="R420" s="3" t="n">
        <f aca="false">IF(K420="Yes",1,0)</f>
        <v>1</v>
      </c>
    </row>
    <row r="421" customFormat="false" ht="15" hidden="false" customHeight="false" outlineLevel="0" collapsed="false">
      <c r="A421" s="0" t="s">
        <v>934</v>
      </c>
      <c r="B421" s="0" t="s">
        <v>19</v>
      </c>
      <c r="C421" s="2" t="s">
        <v>33</v>
      </c>
      <c r="D421" s="2" t="s">
        <v>208</v>
      </c>
      <c r="E421" s="3" t="s">
        <v>43</v>
      </c>
      <c r="F421" s="3" t="s">
        <v>29</v>
      </c>
      <c r="G421" s="0" t="n">
        <v>509</v>
      </c>
      <c r="H421" s="4" t="n">
        <v>76.76</v>
      </c>
      <c r="I421" s="4" t="n">
        <v>74.72</v>
      </c>
      <c r="J421" s="0" t="n">
        <v>7</v>
      </c>
      <c r="K421" s="3" t="s">
        <v>44</v>
      </c>
      <c r="L421" s="3" t="n">
        <f aca="false">IF(D421="","",IF(D421-C421&lt;0,"",D421-C421))</f>
        <v>17</v>
      </c>
      <c r="M421" s="4" t="n">
        <f aca="false">G421*I421</f>
        <v>38032.48</v>
      </c>
      <c r="N421" s="5" t="n">
        <f aca="false">IF(J421="","",J421/G421*100)</f>
        <v>1.37524557956778</v>
      </c>
      <c r="O421" s="5" t="n">
        <f aca="false">(H421-I421)/H421*100</f>
        <v>2.65763418447109</v>
      </c>
      <c r="P421" s="3" t="n">
        <f aca="false">IF(OR(F421="Delivered",F421="Partially Delivered"),1,0)</f>
        <v>1</v>
      </c>
      <c r="Q421" s="3" t="n">
        <f aca="false">IF(F421="Cancelled",1,0)</f>
        <v>0</v>
      </c>
      <c r="R421" s="3" t="n">
        <f aca="false">IF(K421="Yes",1,0)</f>
        <v>0</v>
      </c>
    </row>
    <row r="422" customFormat="false" ht="15" hidden="false" customHeight="false" outlineLevel="0" collapsed="false">
      <c r="A422" s="0" t="s">
        <v>935</v>
      </c>
      <c r="B422" s="0" t="s">
        <v>19</v>
      </c>
      <c r="C422" s="2" t="s">
        <v>439</v>
      </c>
      <c r="D422" s="2" t="s">
        <v>936</v>
      </c>
      <c r="E422" s="3" t="s">
        <v>71</v>
      </c>
      <c r="F422" s="3" t="s">
        <v>29</v>
      </c>
      <c r="G422" s="0" t="n">
        <v>1004</v>
      </c>
      <c r="H422" s="4" t="n">
        <v>50.7</v>
      </c>
      <c r="I422" s="4" t="n">
        <v>46.59</v>
      </c>
      <c r="J422" s="0" t="n">
        <v>27</v>
      </c>
      <c r="K422" s="3" t="s">
        <v>24</v>
      </c>
      <c r="L422" s="3" t="n">
        <f aca="false">IF(D422="","",IF(D422-C422&lt;0,"",D422-C422))</f>
        <v>2</v>
      </c>
      <c r="M422" s="4" t="n">
        <f aca="false">G422*I422</f>
        <v>46776.36</v>
      </c>
      <c r="N422" s="5" t="n">
        <f aca="false">IF(J422="","",J422/G422*100)</f>
        <v>2.68924302788845</v>
      </c>
      <c r="O422" s="5" t="n">
        <f aca="false">(H422-I422)/H422*100</f>
        <v>8.10650887573964</v>
      </c>
      <c r="P422" s="3" t="n">
        <f aca="false">IF(OR(F422="Delivered",F422="Partially Delivered"),1,0)</f>
        <v>1</v>
      </c>
      <c r="Q422" s="3" t="n">
        <f aca="false">IF(F422="Cancelled",1,0)</f>
        <v>0</v>
      </c>
      <c r="R422" s="3" t="n">
        <f aca="false">IF(K422="Yes",1,0)</f>
        <v>1</v>
      </c>
    </row>
    <row r="423" customFormat="false" ht="15" hidden="false" customHeight="false" outlineLevel="0" collapsed="false">
      <c r="A423" s="0" t="s">
        <v>937</v>
      </c>
      <c r="B423" s="0" t="s">
        <v>31</v>
      </c>
      <c r="C423" s="2" t="s">
        <v>938</v>
      </c>
      <c r="D423" s="2" t="s">
        <v>160</v>
      </c>
      <c r="E423" s="3" t="s">
        <v>34</v>
      </c>
      <c r="F423" s="3" t="s">
        <v>62</v>
      </c>
      <c r="G423" s="0" t="n">
        <v>1956</v>
      </c>
      <c r="H423" s="4" t="n">
        <v>31.88</v>
      </c>
      <c r="I423" s="4" t="n">
        <v>28.48</v>
      </c>
      <c r="J423" s="0" t="n">
        <v>86</v>
      </c>
      <c r="K423" s="3" t="s">
        <v>24</v>
      </c>
      <c r="L423" s="3" t="n">
        <f aca="false">IF(D423="","",IF(D423-C423&lt;0,"",D423-C423))</f>
        <v>11</v>
      </c>
      <c r="M423" s="4" t="n">
        <f aca="false">G423*I423</f>
        <v>55706.88</v>
      </c>
      <c r="N423" s="5" t="n">
        <f aca="false">IF(J423="","",J423/G423*100)</f>
        <v>4.39672801635992</v>
      </c>
      <c r="O423" s="5" t="n">
        <f aca="false">(H423-I423)/H423*100</f>
        <v>10.6649937264743</v>
      </c>
      <c r="P423" s="3" t="n">
        <f aca="false">IF(OR(F423="Delivered",F423="Partially Delivered"),1,0)</f>
        <v>0</v>
      </c>
      <c r="Q423" s="3" t="n">
        <f aca="false">IF(F423="Cancelled",1,0)</f>
        <v>0</v>
      </c>
      <c r="R423" s="3" t="n">
        <f aca="false">IF(K423="Yes",1,0)</f>
        <v>1</v>
      </c>
    </row>
    <row r="424" customFormat="false" ht="15" hidden="false" customHeight="false" outlineLevel="0" collapsed="false">
      <c r="A424" s="0" t="s">
        <v>939</v>
      </c>
      <c r="B424" s="0" t="s">
        <v>26</v>
      </c>
      <c r="C424" s="2" t="s">
        <v>566</v>
      </c>
      <c r="D424" s="2"/>
      <c r="E424" s="3" t="s">
        <v>71</v>
      </c>
      <c r="F424" s="3" t="s">
        <v>29</v>
      </c>
      <c r="G424" s="0" t="n">
        <v>519</v>
      </c>
      <c r="H424" s="4" t="n">
        <v>51.73</v>
      </c>
      <c r="I424" s="4" t="n">
        <v>47.52</v>
      </c>
      <c r="J424" s="0" t="n">
        <v>81</v>
      </c>
      <c r="K424" s="3" t="s">
        <v>44</v>
      </c>
      <c r="L424" s="0" t="str">
        <f aca="false">IF(D424="","",IF(D424-C424&lt;0,"",D424-C424))</f>
        <v/>
      </c>
      <c r="M424" s="4" t="n">
        <f aca="false">G424*I424</f>
        <v>24662.88</v>
      </c>
      <c r="N424" s="5" t="n">
        <f aca="false">IF(J424="","",J424/G424*100)</f>
        <v>15.606936416185</v>
      </c>
      <c r="O424" s="5" t="n">
        <f aca="false">(H424-I424)/H424*100</f>
        <v>8.13841098008891</v>
      </c>
      <c r="P424" s="3" t="n">
        <f aca="false">IF(OR(F424="Delivered",F424="Partially Delivered"),1,0)</f>
        <v>1</v>
      </c>
      <c r="Q424" s="3" t="n">
        <f aca="false">IF(F424="Cancelled",1,0)</f>
        <v>0</v>
      </c>
      <c r="R424" s="3" t="n">
        <f aca="false">IF(K424="Yes",1,0)</f>
        <v>0</v>
      </c>
    </row>
    <row r="425" customFormat="false" ht="15" hidden="false" customHeight="false" outlineLevel="0" collapsed="false">
      <c r="A425" s="0" t="s">
        <v>940</v>
      </c>
      <c r="B425" s="0" t="s">
        <v>31</v>
      </c>
      <c r="C425" s="2" t="s">
        <v>941</v>
      </c>
      <c r="D425" s="2" t="s">
        <v>329</v>
      </c>
      <c r="E425" s="3" t="s">
        <v>34</v>
      </c>
      <c r="F425" s="3" t="s">
        <v>58</v>
      </c>
      <c r="G425" s="0" t="n">
        <v>1448</v>
      </c>
      <c r="H425" s="4" t="n">
        <v>25.06</v>
      </c>
      <c r="I425" s="4" t="n">
        <v>21.62</v>
      </c>
      <c r="J425" s="0" t="n">
        <v>84</v>
      </c>
      <c r="K425" s="3" t="s">
        <v>24</v>
      </c>
      <c r="L425" s="3" t="n">
        <f aca="false">IF(D425="","",IF(D425-C425&lt;0,"",D425-C425))</f>
        <v>6</v>
      </c>
      <c r="M425" s="4" t="n">
        <f aca="false">G425*I425</f>
        <v>31305.76</v>
      </c>
      <c r="N425" s="5" t="n">
        <f aca="false">IF(J425="","",J425/G425*100)</f>
        <v>5.80110497237569</v>
      </c>
      <c r="O425" s="5" t="n">
        <f aca="false">(H425-I425)/H425*100</f>
        <v>13.7270550678372</v>
      </c>
      <c r="P425" s="3" t="n">
        <f aca="false">IF(OR(F425="Delivered",F425="Partially Delivered"),1,0)</f>
        <v>1</v>
      </c>
      <c r="Q425" s="3" t="n">
        <f aca="false">IF(F425="Cancelled",1,0)</f>
        <v>0</v>
      </c>
      <c r="R425" s="3" t="n">
        <f aca="false">IF(K425="Yes",1,0)</f>
        <v>1</v>
      </c>
    </row>
    <row r="426" customFormat="false" ht="15" hidden="false" customHeight="false" outlineLevel="0" collapsed="false">
      <c r="A426" s="0" t="s">
        <v>942</v>
      </c>
      <c r="B426" s="0" t="s">
        <v>31</v>
      </c>
      <c r="C426" s="2" t="s">
        <v>943</v>
      </c>
      <c r="D426" s="2" t="s">
        <v>421</v>
      </c>
      <c r="E426" s="3" t="s">
        <v>39</v>
      </c>
      <c r="F426" s="3" t="s">
        <v>29</v>
      </c>
      <c r="G426" s="0" t="n">
        <v>1095</v>
      </c>
      <c r="H426" s="4" t="n">
        <v>26.91</v>
      </c>
      <c r="I426" s="4" t="n">
        <v>23.75</v>
      </c>
      <c r="J426" s="0" t="n">
        <v>53</v>
      </c>
      <c r="K426" s="3" t="s">
        <v>24</v>
      </c>
      <c r="L426" s="3" t="n">
        <f aca="false">IF(D426="","",IF(D426-C426&lt;0,"",D426-C426))</f>
        <v>15</v>
      </c>
      <c r="M426" s="4" t="n">
        <f aca="false">G426*I426</f>
        <v>26006.25</v>
      </c>
      <c r="N426" s="5" t="n">
        <f aca="false">IF(J426="","",J426/G426*100)</f>
        <v>4.84018264840183</v>
      </c>
      <c r="O426" s="5" t="n">
        <f aca="false">(H426-I426)/H426*100</f>
        <v>11.7428465254552</v>
      </c>
      <c r="P426" s="3" t="n">
        <f aca="false">IF(OR(F426="Delivered",F426="Partially Delivered"),1,0)</f>
        <v>1</v>
      </c>
      <c r="Q426" s="3" t="n">
        <f aca="false">IF(F426="Cancelled",1,0)</f>
        <v>0</v>
      </c>
      <c r="R426" s="3" t="n">
        <f aca="false">IF(K426="Yes",1,0)</f>
        <v>1</v>
      </c>
    </row>
    <row r="427" customFormat="false" ht="15" hidden="false" customHeight="false" outlineLevel="0" collapsed="false">
      <c r="A427" s="0" t="s">
        <v>944</v>
      </c>
      <c r="B427" s="0" t="s">
        <v>19</v>
      </c>
      <c r="C427" s="2" t="s">
        <v>469</v>
      </c>
      <c r="D427" s="2"/>
      <c r="E427" s="3" t="s">
        <v>34</v>
      </c>
      <c r="F427" s="3" t="s">
        <v>29</v>
      </c>
      <c r="G427" s="0" t="n">
        <v>799</v>
      </c>
      <c r="H427" s="4" t="n">
        <v>56.22</v>
      </c>
      <c r="I427" s="4" t="n">
        <v>49.51</v>
      </c>
      <c r="J427" s="0" t="n">
        <v>18</v>
      </c>
      <c r="K427" s="3" t="s">
        <v>24</v>
      </c>
      <c r="L427" s="0" t="str">
        <f aca="false">IF(D427="","",IF(D427-C427&lt;0,"",D427-C427))</f>
        <v/>
      </c>
      <c r="M427" s="4" t="n">
        <f aca="false">G427*I427</f>
        <v>39558.49</v>
      </c>
      <c r="N427" s="5" t="n">
        <f aca="false">IF(J427="","",J427/G427*100)</f>
        <v>2.25281602002503</v>
      </c>
      <c r="O427" s="5" t="n">
        <f aca="false">(H427-I427)/H427*100</f>
        <v>11.9352543578798</v>
      </c>
      <c r="P427" s="3" t="n">
        <f aca="false">IF(OR(F427="Delivered",F427="Partially Delivered"),1,0)</f>
        <v>1</v>
      </c>
      <c r="Q427" s="3" t="n">
        <f aca="false">IF(F427="Cancelled",1,0)</f>
        <v>0</v>
      </c>
      <c r="R427" s="3" t="n">
        <f aca="false">IF(K427="Yes",1,0)</f>
        <v>1</v>
      </c>
    </row>
    <row r="428" customFormat="false" ht="15" hidden="false" customHeight="false" outlineLevel="0" collapsed="false">
      <c r="A428" s="0" t="s">
        <v>945</v>
      </c>
      <c r="B428" s="0" t="s">
        <v>36</v>
      </c>
      <c r="C428" s="2" t="s">
        <v>687</v>
      </c>
      <c r="D428" s="2" t="s">
        <v>835</v>
      </c>
      <c r="E428" s="3" t="s">
        <v>34</v>
      </c>
      <c r="F428" s="3" t="s">
        <v>58</v>
      </c>
      <c r="G428" s="0" t="n">
        <v>1743</v>
      </c>
      <c r="H428" s="4" t="n">
        <v>51.04</v>
      </c>
      <c r="I428" s="4" t="n">
        <v>47.15</v>
      </c>
      <c r="J428" s="0" t="n">
        <v>160</v>
      </c>
      <c r="K428" s="3" t="s">
        <v>24</v>
      </c>
      <c r="L428" s="3" t="n">
        <f aca="false">IF(D428="","",IF(D428-C428&lt;0,"",D428-C428))</f>
        <v>20</v>
      </c>
      <c r="M428" s="4" t="n">
        <f aca="false">G428*I428</f>
        <v>82182.45</v>
      </c>
      <c r="N428" s="5" t="n">
        <f aca="false">IF(J428="","",J428/G428*100)</f>
        <v>9.17957544463569</v>
      </c>
      <c r="O428" s="5" t="n">
        <f aca="false">(H428-I428)/H428*100</f>
        <v>7.62147335423198</v>
      </c>
      <c r="P428" s="3" t="n">
        <f aca="false">IF(OR(F428="Delivered",F428="Partially Delivered"),1,0)</f>
        <v>1</v>
      </c>
      <c r="Q428" s="3" t="n">
        <f aca="false">IF(F428="Cancelled",1,0)</f>
        <v>0</v>
      </c>
      <c r="R428" s="3" t="n">
        <f aca="false">IF(K428="Yes",1,0)</f>
        <v>1</v>
      </c>
    </row>
    <row r="429" customFormat="false" ht="15" hidden="false" customHeight="false" outlineLevel="0" collapsed="false">
      <c r="A429" s="0" t="s">
        <v>946</v>
      </c>
      <c r="B429" s="0" t="s">
        <v>19</v>
      </c>
      <c r="C429" s="2" t="s">
        <v>346</v>
      </c>
      <c r="D429" s="2" t="s">
        <v>846</v>
      </c>
      <c r="E429" s="3" t="s">
        <v>43</v>
      </c>
      <c r="F429" s="3" t="s">
        <v>29</v>
      </c>
      <c r="G429" s="0" t="n">
        <v>87</v>
      </c>
      <c r="H429" s="4" t="n">
        <v>100.65</v>
      </c>
      <c r="I429" s="4" t="n">
        <v>85.56</v>
      </c>
      <c r="J429" s="0" t="n">
        <v>1</v>
      </c>
      <c r="K429" s="3" t="s">
        <v>24</v>
      </c>
      <c r="L429" s="3" t="n">
        <f aca="false">IF(D429="","",IF(D429-C429&lt;0,"",D429-C429))</f>
        <v>12</v>
      </c>
      <c r="M429" s="4" t="n">
        <f aca="false">G429*I429</f>
        <v>7443.72</v>
      </c>
      <c r="N429" s="5" t="n">
        <f aca="false">IF(J429="","",J429/G429*100)</f>
        <v>1.14942528735632</v>
      </c>
      <c r="O429" s="5" t="n">
        <f aca="false">(H429-I429)/H429*100</f>
        <v>14.9925484351714</v>
      </c>
      <c r="P429" s="3" t="n">
        <f aca="false">IF(OR(F429="Delivered",F429="Partially Delivered"),1,0)</f>
        <v>1</v>
      </c>
      <c r="Q429" s="3" t="n">
        <f aca="false">IF(F429="Cancelled",1,0)</f>
        <v>0</v>
      </c>
      <c r="R429" s="3" t="n">
        <f aca="false">IF(K429="Yes",1,0)</f>
        <v>1</v>
      </c>
    </row>
    <row r="430" customFormat="false" ht="15" hidden="false" customHeight="false" outlineLevel="0" collapsed="false">
      <c r="A430" s="0" t="s">
        <v>947</v>
      </c>
      <c r="B430" s="0" t="s">
        <v>36</v>
      </c>
      <c r="C430" s="2" t="s">
        <v>919</v>
      </c>
      <c r="D430" s="2"/>
      <c r="E430" s="3" t="s">
        <v>43</v>
      </c>
      <c r="F430" s="3" t="s">
        <v>29</v>
      </c>
      <c r="G430" s="0" t="n">
        <v>279</v>
      </c>
      <c r="H430" s="4" t="n">
        <v>47.52</v>
      </c>
      <c r="I430" s="4" t="n">
        <v>46.5</v>
      </c>
      <c r="J430" s="0" t="n">
        <v>28</v>
      </c>
      <c r="K430" s="3" t="s">
        <v>44</v>
      </c>
      <c r="L430" s="0" t="str">
        <f aca="false">IF(D430="","",IF(D430-C430&lt;0,"",D430-C430))</f>
        <v/>
      </c>
      <c r="M430" s="4" t="n">
        <f aca="false">G430*I430</f>
        <v>12973.5</v>
      </c>
      <c r="N430" s="5" t="n">
        <f aca="false">IF(J430="","",J430/G430*100)</f>
        <v>10.0358422939068</v>
      </c>
      <c r="O430" s="5" t="n">
        <f aca="false">(H430-I430)/H430*100</f>
        <v>2.14646464646465</v>
      </c>
      <c r="P430" s="3" t="n">
        <f aca="false">IF(OR(F430="Delivered",F430="Partially Delivered"),1,0)</f>
        <v>1</v>
      </c>
      <c r="Q430" s="3" t="n">
        <f aca="false">IF(F430="Cancelled",1,0)</f>
        <v>0</v>
      </c>
      <c r="R430" s="3" t="n">
        <f aca="false">IF(K430="Yes",1,0)</f>
        <v>0</v>
      </c>
    </row>
    <row r="431" customFormat="false" ht="15" hidden="false" customHeight="false" outlineLevel="0" collapsed="false">
      <c r="A431" s="0" t="s">
        <v>948</v>
      </c>
      <c r="B431" s="0" t="s">
        <v>26</v>
      </c>
      <c r="C431" s="2" t="s">
        <v>949</v>
      </c>
      <c r="D431" s="2" t="s">
        <v>557</v>
      </c>
      <c r="E431" s="3" t="s">
        <v>43</v>
      </c>
      <c r="F431" s="3" t="s">
        <v>29</v>
      </c>
      <c r="G431" s="0" t="n">
        <v>1438</v>
      </c>
      <c r="H431" s="4" t="n">
        <v>66.61</v>
      </c>
      <c r="I431" s="4" t="n">
        <v>58.5</v>
      </c>
      <c r="J431" s="0" t="n">
        <v>237</v>
      </c>
      <c r="K431" s="3" t="s">
        <v>24</v>
      </c>
      <c r="L431" s="3" t="n">
        <f aca="false">IF(D431="","",IF(D431-C431&lt;0,"",D431-C431))</f>
        <v>11</v>
      </c>
      <c r="M431" s="4" t="n">
        <f aca="false">G431*I431</f>
        <v>84123</v>
      </c>
      <c r="N431" s="5" t="n">
        <f aca="false">IF(J431="","",J431/G431*100)</f>
        <v>16.481223922114</v>
      </c>
      <c r="O431" s="5" t="n">
        <f aca="false">(H431-I431)/H431*100</f>
        <v>12.1753490466897</v>
      </c>
      <c r="P431" s="3" t="n">
        <f aca="false">IF(OR(F431="Delivered",F431="Partially Delivered"),1,0)</f>
        <v>1</v>
      </c>
      <c r="Q431" s="3" t="n">
        <f aca="false">IF(F431="Cancelled",1,0)</f>
        <v>0</v>
      </c>
      <c r="R431" s="3" t="n">
        <f aca="false">IF(K431="Yes",1,0)</f>
        <v>1</v>
      </c>
    </row>
    <row r="432" customFormat="false" ht="15" hidden="false" customHeight="false" outlineLevel="0" collapsed="false">
      <c r="A432" s="0" t="s">
        <v>950</v>
      </c>
      <c r="B432" s="0" t="s">
        <v>26</v>
      </c>
      <c r="C432" s="2" t="s">
        <v>96</v>
      </c>
      <c r="D432" s="2" t="s">
        <v>846</v>
      </c>
      <c r="E432" s="3" t="s">
        <v>22</v>
      </c>
      <c r="F432" s="3" t="s">
        <v>58</v>
      </c>
      <c r="G432" s="0" t="n">
        <v>612</v>
      </c>
      <c r="H432" s="4" t="n">
        <v>72.93</v>
      </c>
      <c r="I432" s="4" t="n">
        <v>63.32</v>
      </c>
      <c r="J432" s="0" t="n">
        <v>99</v>
      </c>
      <c r="K432" s="3" t="s">
        <v>24</v>
      </c>
      <c r="L432" s="3" t="n">
        <f aca="false">IF(D432="","",IF(D432-C432&lt;0,"",D432-C432))</f>
        <v>2</v>
      </c>
      <c r="M432" s="4" t="n">
        <f aca="false">G432*I432</f>
        <v>38751.84</v>
      </c>
      <c r="N432" s="5" t="n">
        <f aca="false">IF(J432="","",J432/G432*100)</f>
        <v>16.1764705882353</v>
      </c>
      <c r="O432" s="5" t="n">
        <f aca="false">(H432-I432)/H432*100</f>
        <v>13.177019059372</v>
      </c>
      <c r="P432" s="3" t="n">
        <f aca="false">IF(OR(F432="Delivered",F432="Partially Delivered"),1,0)</f>
        <v>1</v>
      </c>
      <c r="Q432" s="3" t="n">
        <f aca="false">IF(F432="Cancelled",1,0)</f>
        <v>0</v>
      </c>
      <c r="R432" s="3" t="n">
        <f aca="false">IF(K432="Yes",1,0)</f>
        <v>1</v>
      </c>
    </row>
    <row r="433" customFormat="false" ht="15" hidden="false" customHeight="false" outlineLevel="0" collapsed="false">
      <c r="A433" s="0" t="s">
        <v>951</v>
      </c>
      <c r="B433" s="0" t="s">
        <v>46</v>
      </c>
      <c r="C433" s="2" t="s">
        <v>840</v>
      </c>
      <c r="D433" s="2" t="s">
        <v>952</v>
      </c>
      <c r="E433" s="3" t="s">
        <v>39</v>
      </c>
      <c r="F433" s="3" t="s">
        <v>62</v>
      </c>
      <c r="G433" s="0" t="n">
        <v>487</v>
      </c>
      <c r="H433" s="4" t="n">
        <v>11.18</v>
      </c>
      <c r="I433" s="4" t="n">
        <v>10.63</v>
      </c>
      <c r="J433" s="0" t="n">
        <v>15</v>
      </c>
      <c r="K433" s="3" t="s">
        <v>24</v>
      </c>
      <c r="L433" s="3" t="n">
        <f aca="false">IF(D433="","",IF(D433-C433&lt;0,"",D433-C433))</f>
        <v>11</v>
      </c>
      <c r="M433" s="4" t="n">
        <f aca="false">G433*I433</f>
        <v>5176.81</v>
      </c>
      <c r="N433" s="5" t="n">
        <f aca="false">IF(J433="","",J433/G433*100)</f>
        <v>3.08008213552361</v>
      </c>
      <c r="O433" s="5" t="n">
        <f aca="false">(H433-I433)/H433*100</f>
        <v>4.91949910554561</v>
      </c>
      <c r="P433" s="3" t="n">
        <f aca="false">IF(OR(F433="Delivered",F433="Partially Delivered"),1,0)</f>
        <v>0</v>
      </c>
      <c r="Q433" s="3" t="n">
        <f aca="false">IF(F433="Cancelled",1,0)</f>
        <v>0</v>
      </c>
      <c r="R433" s="3" t="n">
        <f aca="false">IF(K433="Yes",1,0)</f>
        <v>1</v>
      </c>
    </row>
    <row r="434" customFormat="false" ht="15" hidden="false" customHeight="false" outlineLevel="0" collapsed="false">
      <c r="A434" s="0" t="s">
        <v>953</v>
      </c>
      <c r="B434" s="0" t="s">
        <v>46</v>
      </c>
      <c r="C434" s="2" t="s">
        <v>27</v>
      </c>
      <c r="D434" s="2" t="s">
        <v>54</v>
      </c>
      <c r="E434" s="3" t="s">
        <v>39</v>
      </c>
      <c r="F434" s="3" t="s">
        <v>58</v>
      </c>
      <c r="G434" s="0" t="n">
        <v>1849</v>
      </c>
      <c r="H434" s="4" t="n">
        <v>70.76</v>
      </c>
      <c r="I434" s="4" t="n">
        <v>69.25</v>
      </c>
      <c r="J434" s="0" t="n">
        <v>51</v>
      </c>
      <c r="K434" s="3" t="s">
        <v>24</v>
      </c>
      <c r="L434" s="3" t="n">
        <f aca="false">IF(D434="","",IF(D434-C434&lt;0,"",D434-C434))</f>
        <v>4</v>
      </c>
      <c r="M434" s="4" t="n">
        <f aca="false">G434*I434</f>
        <v>128043.25</v>
      </c>
      <c r="N434" s="5" t="n">
        <f aca="false">IF(J434="","",J434/G434*100)</f>
        <v>2.75824770146025</v>
      </c>
      <c r="O434" s="5" t="n">
        <f aca="false">(H434-I434)/H434*100</f>
        <v>2.13397399660826</v>
      </c>
      <c r="P434" s="3" t="n">
        <f aca="false">IF(OR(F434="Delivered",F434="Partially Delivered"),1,0)</f>
        <v>1</v>
      </c>
      <c r="Q434" s="3" t="n">
        <f aca="false">IF(F434="Cancelled",1,0)</f>
        <v>0</v>
      </c>
      <c r="R434" s="3" t="n">
        <f aca="false">IF(K434="Yes",1,0)</f>
        <v>1</v>
      </c>
    </row>
    <row r="435" customFormat="false" ht="15" hidden="false" customHeight="false" outlineLevel="0" collapsed="false">
      <c r="A435" s="0" t="s">
        <v>954</v>
      </c>
      <c r="B435" s="0" t="s">
        <v>46</v>
      </c>
      <c r="C435" s="2" t="s">
        <v>695</v>
      </c>
      <c r="D435" s="2" t="s">
        <v>955</v>
      </c>
      <c r="E435" s="3" t="s">
        <v>34</v>
      </c>
      <c r="F435" s="3" t="s">
        <v>58</v>
      </c>
      <c r="G435" s="0" t="n">
        <v>1356</v>
      </c>
      <c r="H435" s="4" t="n">
        <v>26.28</v>
      </c>
      <c r="I435" s="4" t="n">
        <v>25.44</v>
      </c>
      <c r="J435" s="0" t="n">
        <v>47</v>
      </c>
      <c r="K435" s="3" t="s">
        <v>24</v>
      </c>
      <c r="L435" s="3" t="n">
        <f aca="false">IF(D435="","",IF(D435-C435&lt;0,"",D435-C435))</f>
        <v>13</v>
      </c>
      <c r="M435" s="4" t="n">
        <f aca="false">G435*I435</f>
        <v>34496.64</v>
      </c>
      <c r="N435" s="5" t="n">
        <f aca="false">IF(J435="","",J435/G435*100)</f>
        <v>3.46607669616519</v>
      </c>
      <c r="O435" s="5" t="n">
        <f aca="false">(H435-I435)/H435*100</f>
        <v>3.19634703196347</v>
      </c>
      <c r="P435" s="3" t="n">
        <f aca="false">IF(OR(F435="Delivered",F435="Partially Delivered"),1,0)</f>
        <v>1</v>
      </c>
      <c r="Q435" s="3" t="n">
        <f aca="false">IF(F435="Cancelled",1,0)</f>
        <v>0</v>
      </c>
      <c r="R435" s="3" t="n">
        <f aca="false">IF(K435="Yes",1,0)</f>
        <v>1</v>
      </c>
    </row>
    <row r="436" customFormat="false" ht="15" hidden="false" customHeight="false" outlineLevel="0" collapsed="false">
      <c r="A436" s="0" t="s">
        <v>956</v>
      </c>
      <c r="B436" s="0" t="s">
        <v>26</v>
      </c>
      <c r="C436" s="2" t="s">
        <v>284</v>
      </c>
      <c r="D436" s="2" t="s">
        <v>957</v>
      </c>
      <c r="E436" s="3" t="s">
        <v>43</v>
      </c>
      <c r="F436" s="3" t="s">
        <v>29</v>
      </c>
      <c r="G436" s="0" t="n">
        <v>76</v>
      </c>
      <c r="H436" s="4" t="n">
        <v>107.59</v>
      </c>
      <c r="I436" s="4" t="n">
        <v>96.33</v>
      </c>
      <c r="J436" s="0" t="n">
        <v>10</v>
      </c>
      <c r="K436" s="3" t="s">
        <v>24</v>
      </c>
      <c r="L436" s="3" t="n">
        <f aca="false">IF(D436="","",IF(D436-C436&lt;0,"",D436-C436))</f>
        <v>20</v>
      </c>
      <c r="M436" s="4" t="n">
        <f aca="false">G436*I436</f>
        <v>7321.08</v>
      </c>
      <c r="N436" s="5" t="n">
        <f aca="false">IF(J436="","",J436/G436*100)</f>
        <v>13.1578947368421</v>
      </c>
      <c r="O436" s="5" t="n">
        <f aca="false">(H436-I436)/H436*100</f>
        <v>10.4656566595409</v>
      </c>
      <c r="P436" s="3" t="n">
        <f aca="false">IF(OR(F436="Delivered",F436="Partially Delivered"),1,0)</f>
        <v>1</v>
      </c>
      <c r="Q436" s="3" t="n">
        <f aca="false">IF(F436="Cancelled",1,0)</f>
        <v>0</v>
      </c>
      <c r="R436" s="3" t="n">
        <f aca="false">IF(K436="Yes",1,0)</f>
        <v>1</v>
      </c>
    </row>
    <row r="437" customFormat="false" ht="15" hidden="false" customHeight="false" outlineLevel="0" collapsed="false">
      <c r="A437" s="0" t="s">
        <v>958</v>
      </c>
      <c r="B437" s="0" t="s">
        <v>19</v>
      </c>
      <c r="C437" s="2" t="s">
        <v>959</v>
      </c>
      <c r="D437" s="2" t="s">
        <v>126</v>
      </c>
      <c r="E437" s="3" t="s">
        <v>39</v>
      </c>
      <c r="F437" s="3" t="s">
        <v>58</v>
      </c>
      <c r="G437" s="0" t="n">
        <v>275</v>
      </c>
      <c r="H437" s="4" t="n">
        <v>23.96</v>
      </c>
      <c r="I437" s="4" t="n">
        <v>20.44</v>
      </c>
      <c r="K437" s="3" t="s">
        <v>24</v>
      </c>
      <c r="L437" s="3" t="n">
        <f aca="false">IF(D437="","",IF(D437-C437&lt;0,"",D437-C437))</f>
        <v>11</v>
      </c>
      <c r="M437" s="4" t="n">
        <f aca="false">G437*I437</f>
        <v>5621</v>
      </c>
      <c r="N437" s="5" t="str">
        <f aca="false">IF(J437="","",J437/G437*100)</f>
        <v/>
      </c>
      <c r="O437" s="5" t="n">
        <f aca="false">(H437-I437)/H437*100</f>
        <v>14.6911519198664</v>
      </c>
      <c r="P437" s="3" t="n">
        <f aca="false">IF(OR(F437="Delivered",F437="Partially Delivered"),1,0)</f>
        <v>1</v>
      </c>
      <c r="Q437" s="3" t="n">
        <f aca="false">IF(F437="Cancelled",1,0)</f>
        <v>0</v>
      </c>
      <c r="R437" s="3" t="n">
        <f aca="false">IF(K437="Yes",1,0)</f>
        <v>1</v>
      </c>
    </row>
    <row r="438" customFormat="false" ht="15" hidden="false" customHeight="false" outlineLevel="0" collapsed="false">
      <c r="A438" s="0" t="s">
        <v>960</v>
      </c>
      <c r="B438" s="0" t="s">
        <v>19</v>
      </c>
      <c r="C438" s="2" t="s">
        <v>60</v>
      </c>
      <c r="D438" s="2" t="s">
        <v>473</v>
      </c>
      <c r="E438" s="3" t="s">
        <v>39</v>
      </c>
      <c r="F438" s="3" t="s">
        <v>29</v>
      </c>
      <c r="G438" s="0" t="n">
        <v>1350</v>
      </c>
      <c r="H438" s="4" t="n">
        <v>51.57</v>
      </c>
      <c r="I438" s="4" t="n">
        <v>48.07</v>
      </c>
      <c r="K438" s="3" t="s">
        <v>24</v>
      </c>
      <c r="L438" s="3" t="n">
        <f aca="false">IF(D438="","",IF(D438-C438&lt;0,"",D438-C438))</f>
        <v>5</v>
      </c>
      <c r="M438" s="4" t="n">
        <f aca="false">G438*I438</f>
        <v>64894.5</v>
      </c>
      <c r="N438" s="5" t="str">
        <f aca="false">IF(J438="","",J438/G438*100)</f>
        <v/>
      </c>
      <c r="O438" s="5" t="n">
        <f aca="false">(H438-I438)/H438*100</f>
        <v>6.78689160364553</v>
      </c>
      <c r="P438" s="3" t="n">
        <f aca="false">IF(OR(F438="Delivered",F438="Partially Delivered"),1,0)</f>
        <v>1</v>
      </c>
      <c r="Q438" s="3" t="n">
        <f aca="false">IF(F438="Cancelled",1,0)</f>
        <v>0</v>
      </c>
      <c r="R438" s="3" t="n">
        <f aca="false">IF(K438="Yes",1,0)</f>
        <v>1</v>
      </c>
    </row>
    <row r="439" customFormat="false" ht="15" hidden="false" customHeight="false" outlineLevel="0" collapsed="false">
      <c r="A439" s="0" t="s">
        <v>961</v>
      </c>
      <c r="B439" s="0" t="s">
        <v>19</v>
      </c>
      <c r="C439" s="2" t="s">
        <v>962</v>
      </c>
      <c r="D439" s="2"/>
      <c r="E439" s="3" t="s">
        <v>34</v>
      </c>
      <c r="F439" s="3" t="s">
        <v>29</v>
      </c>
      <c r="G439" s="0" t="n">
        <v>847</v>
      </c>
      <c r="H439" s="4" t="n">
        <v>17.77</v>
      </c>
      <c r="I439" s="4" t="n">
        <v>17.39</v>
      </c>
      <c r="K439" s="3" t="s">
        <v>24</v>
      </c>
      <c r="L439" s="0" t="str">
        <f aca="false">IF(D439="","",IF(D439-C439&lt;0,"",D439-C439))</f>
        <v/>
      </c>
      <c r="M439" s="4" t="n">
        <f aca="false">G439*I439</f>
        <v>14729.33</v>
      </c>
      <c r="N439" s="5" t="str">
        <f aca="false">IF(J439="","",J439/G439*100)</f>
        <v/>
      </c>
      <c r="O439" s="5" t="n">
        <f aca="false">(H439-I439)/H439*100</f>
        <v>2.13843556555993</v>
      </c>
      <c r="P439" s="3" t="n">
        <f aca="false">IF(OR(F439="Delivered",F439="Partially Delivered"),1,0)</f>
        <v>1</v>
      </c>
      <c r="Q439" s="3" t="n">
        <f aca="false">IF(F439="Cancelled",1,0)</f>
        <v>0</v>
      </c>
      <c r="R439" s="3" t="n">
        <f aca="false">IF(K439="Yes",1,0)</f>
        <v>1</v>
      </c>
    </row>
    <row r="440" customFormat="false" ht="15" hidden="false" customHeight="false" outlineLevel="0" collapsed="false">
      <c r="A440" s="0" t="s">
        <v>963</v>
      </c>
      <c r="B440" s="0" t="s">
        <v>31</v>
      </c>
      <c r="C440" s="2" t="s">
        <v>650</v>
      </c>
      <c r="D440" s="2" t="s">
        <v>467</v>
      </c>
      <c r="E440" s="3" t="s">
        <v>34</v>
      </c>
      <c r="F440" s="3" t="s">
        <v>29</v>
      </c>
      <c r="G440" s="0" t="n">
        <v>1682</v>
      </c>
      <c r="H440" s="4" t="n">
        <v>105.7</v>
      </c>
      <c r="I440" s="4" t="n">
        <v>101.3</v>
      </c>
      <c r="J440" s="0" t="n">
        <v>94</v>
      </c>
      <c r="K440" s="3" t="s">
        <v>24</v>
      </c>
      <c r="L440" s="3" t="n">
        <f aca="false">IF(D440="","",IF(D440-C440&lt;0,"",D440-C440))</f>
        <v>13</v>
      </c>
      <c r="M440" s="4" t="n">
        <f aca="false">G440*I440</f>
        <v>170386.6</v>
      </c>
      <c r="N440" s="5" t="n">
        <f aca="false">IF(J440="","",J440/G440*100)</f>
        <v>5.58858501783591</v>
      </c>
      <c r="O440" s="5" t="n">
        <f aca="false">(H440-I440)/H440*100</f>
        <v>4.16272469252602</v>
      </c>
      <c r="P440" s="3" t="n">
        <f aca="false">IF(OR(F440="Delivered",F440="Partially Delivered"),1,0)</f>
        <v>1</v>
      </c>
      <c r="Q440" s="3" t="n">
        <f aca="false">IF(F440="Cancelled",1,0)</f>
        <v>0</v>
      </c>
      <c r="R440" s="3" t="n">
        <f aca="false">IF(K440="Yes",1,0)</f>
        <v>1</v>
      </c>
    </row>
    <row r="441" customFormat="false" ht="15" hidden="false" customHeight="false" outlineLevel="0" collapsed="false">
      <c r="A441" s="0" t="s">
        <v>964</v>
      </c>
      <c r="B441" s="0" t="s">
        <v>46</v>
      </c>
      <c r="C441" s="2" t="s">
        <v>625</v>
      </c>
      <c r="D441" s="2" t="s">
        <v>965</v>
      </c>
      <c r="E441" s="3" t="s">
        <v>71</v>
      </c>
      <c r="F441" s="3" t="s">
        <v>29</v>
      </c>
      <c r="G441" s="0" t="n">
        <v>333</v>
      </c>
      <c r="H441" s="4" t="n">
        <v>60.44</v>
      </c>
      <c r="I441" s="4" t="n">
        <v>58.54</v>
      </c>
      <c r="J441" s="0" t="n">
        <v>8</v>
      </c>
      <c r="K441" s="3" t="s">
        <v>24</v>
      </c>
      <c r="L441" s="3" t="n">
        <f aca="false">IF(D441="","",IF(D441-C441&lt;0,"",D441-C441))</f>
        <v>3</v>
      </c>
      <c r="M441" s="4" t="n">
        <f aca="false">G441*I441</f>
        <v>19493.82</v>
      </c>
      <c r="N441" s="5" t="n">
        <f aca="false">IF(J441="","",J441/G441*100)</f>
        <v>2.4024024024024</v>
      </c>
      <c r="O441" s="5" t="n">
        <f aca="false">(H441-I441)/H441*100</f>
        <v>3.14361350099272</v>
      </c>
      <c r="P441" s="3" t="n">
        <f aca="false">IF(OR(F441="Delivered",F441="Partially Delivered"),1,0)</f>
        <v>1</v>
      </c>
      <c r="Q441" s="3" t="n">
        <f aca="false">IF(F441="Cancelled",1,0)</f>
        <v>0</v>
      </c>
      <c r="R441" s="3" t="n">
        <f aca="false">IF(K441="Yes",1,0)</f>
        <v>1</v>
      </c>
    </row>
    <row r="442" customFormat="false" ht="15" hidden="false" customHeight="false" outlineLevel="0" collapsed="false">
      <c r="A442" s="0" t="s">
        <v>966</v>
      </c>
      <c r="B442" s="0" t="s">
        <v>19</v>
      </c>
      <c r="C442" s="2" t="s">
        <v>182</v>
      </c>
      <c r="D442" s="2" t="s">
        <v>813</v>
      </c>
      <c r="E442" s="3" t="s">
        <v>71</v>
      </c>
      <c r="F442" s="3" t="s">
        <v>23</v>
      </c>
      <c r="G442" s="0" t="n">
        <v>928</v>
      </c>
      <c r="H442" s="4" t="n">
        <v>69.31</v>
      </c>
      <c r="I442" s="4" t="n">
        <v>67.26</v>
      </c>
      <c r="J442" s="0" t="n">
        <v>20</v>
      </c>
      <c r="K442" s="3" t="s">
        <v>24</v>
      </c>
      <c r="L442" s="3" t="n">
        <f aca="false">IF(D442="","",IF(D442-C442&lt;0,"",D442-C442))</f>
        <v>13</v>
      </c>
      <c r="M442" s="4" t="n">
        <f aca="false">G442*I442</f>
        <v>62417.28</v>
      </c>
      <c r="N442" s="5" t="n">
        <f aca="false">IF(J442="","",J442/G442*100)</f>
        <v>2.1551724137931</v>
      </c>
      <c r="O442" s="5" t="n">
        <f aca="false">(H442-I442)/H442*100</f>
        <v>2.95772615784158</v>
      </c>
      <c r="P442" s="3" t="n">
        <f aca="false">IF(OR(F442="Delivered",F442="Partially Delivered"),1,0)</f>
        <v>0</v>
      </c>
      <c r="Q442" s="3" t="n">
        <f aca="false">IF(F442="Cancelled",1,0)</f>
        <v>1</v>
      </c>
      <c r="R442" s="3" t="n">
        <f aca="false">IF(K442="Yes",1,0)</f>
        <v>1</v>
      </c>
    </row>
    <row r="443" customFormat="false" ht="15" hidden="false" customHeight="false" outlineLevel="0" collapsed="false">
      <c r="A443" s="0" t="s">
        <v>967</v>
      </c>
      <c r="B443" s="0" t="s">
        <v>46</v>
      </c>
      <c r="C443" s="2" t="s">
        <v>968</v>
      </c>
      <c r="D443" s="2" t="s">
        <v>969</v>
      </c>
      <c r="E443" s="3" t="s">
        <v>34</v>
      </c>
      <c r="F443" s="3" t="s">
        <v>58</v>
      </c>
      <c r="G443" s="0" t="n">
        <v>1009</v>
      </c>
      <c r="H443" s="4" t="n">
        <v>16.44</v>
      </c>
      <c r="I443" s="4" t="n">
        <v>16.18</v>
      </c>
      <c r="K443" s="3" t="s">
        <v>24</v>
      </c>
      <c r="L443" s="3" t="n">
        <f aca="false">IF(D443="","",IF(D443-C443&lt;0,"",D443-C443))</f>
        <v>11</v>
      </c>
      <c r="M443" s="4" t="n">
        <f aca="false">G443*I443</f>
        <v>16325.62</v>
      </c>
      <c r="N443" s="5" t="str">
        <f aca="false">IF(J443="","",J443/G443*100)</f>
        <v/>
      </c>
      <c r="O443" s="5" t="n">
        <f aca="false">(H443-I443)/H443*100</f>
        <v>1.58150851581509</v>
      </c>
      <c r="P443" s="3" t="n">
        <f aca="false">IF(OR(F443="Delivered",F443="Partially Delivered"),1,0)</f>
        <v>1</v>
      </c>
      <c r="Q443" s="3" t="n">
        <f aca="false">IF(F443="Cancelled",1,0)</f>
        <v>0</v>
      </c>
      <c r="R443" s="3" t="n">
        <f aca="false">IF(K443="Yes",1,0)</f>
        <v>1</v>
      </c>
    </row>
    <row r="444" customFormat="false" ht="15" hidden="false" customHeight="false" outlineLevel="0" collapsed="false">
      <c r="A444" s="0" t="s">
        <v>970</v>
      </c>
      <c r="B444" s="0" t="s">
        <v>46</v>
      </c>
      <c r="C444" s="2" t="s">
        <v>132</v>
      </c>
      <c r="D444" s="2" t="s">
        <v>971</v>
      </c>
      <c r="E444" s="3" t="s">
        <v>71</v>
      </c>
      <c r="F444" s="3" t="s">
        <v>62</v>
      </c>
      <c r="G444" s="0" t="n">
        <v>1554</v>
      </c>
      <c r="H444" s="4" t="n">
        <v>82.92</v>
      </c>
      <c r="I444" s="4" t="n">
        <v>74.82</v>
      </c>
      <c r="J444" s="0" t="n">
        <v>44</v>
      </c>
      <c r="K444" s="3" t="s">
        <v>24</v>
      </c>
      <c r="L444" s="3" t="n">
        <f aca="false">IF(D444="","",IF(D444-C444&lt;0,"",D444-C444))</f>
        <v>17</v>
      </c>
      <c r="M444" s="4" t="n">
        <f aca="false">G444*I444</f>
        <v>116270.28</v>
      </c>
      <c r="N444" s="5" t="n">
        <f aca="false">IF(J444="","",J444/G444*100)</f>
        <v>2.83140283140283</v>
      </c>
      <c r="O444" s="5" t="n">
        <f aca="false">(H444-I444)/H444*100</f>
        <v>9.76845151953691</v>
      </c>
      <c r="P444" s="3" t="n">
        <f aca="false">IF(OR(F444="Delivered",F444="Partially Delivered"),1,0)</f>
        <v>0</v>
      </c>
      <c r="Q444" s="3" t="n">
        <f aca="false">IF(F444="Cancelled",1,0)</f>
        <v>0</v>
      </c>
      <c r="R444" s="3" t="n">
        <f aca="false">IF(K444="Yes",1,0)</f>
        <v>1</v>
      </c>
    </row>
    <row r="445" customFormat="false" ht="15" hidden="false" customHeight="false" outlineLevel="0" collapsed="false">
      <c r="A445" s="0" t="s">
        <v>972</v>
      </c>
      <c r="B445" s="0" t="s">
        <v>31</v>
      </c>
      <c r="C445" s="2" t="s">
        <v>973</v>
      </c>
      <c r="D445" s="2" t="s">
        <v>622</v>
      </c>
      <c r="E445" s="3" t="s">
        <v>39</v>
      </c>
      <c r="F445" s="3" t="s">
        <v>58</v>
      </c>
      <c r="G445" s="0" t="n">
        <v>502</v>
      </c>
      <c r="H445" s="4" t="n">
        <v>29.47</v>
      </c>
      <c r="I445" s="4" t="n">
        <v>28.94</v>
      </c>
      <c r="J445" s="0" t="n">
        <v>27</v>
      </c>
      <c r="K445" s="3" t="s">
        <v>24</v>
      </c>
      <c r="L445" s="3" t="n">
        <f aca="false">IF(D445="","",IF(D445-C445&lt;0,"",D445-C445))</f>
        <v>14</v>
      </c>
      <c r="M445" s="4" t="n">
        <f aca="false">G445*I445</f>
        <v>14527.88</v>
      </c>
      <c r="N445" s="5" t="n">
        <f aca="false">IF(J445="","",J445/G445*100)</f>
        <v>5.37848605577689</v>
      </c>
      <c r="O445" s="5" t="n">
        <f aca="false">(H445-I445)/H445*100</f>
        <v>1.7984390906006</v>
      </c>
      <c r="P445" s="3" t="n">
        <f aca="false">IF(OR(F445="Delivered",F445="Partially Delivered"),1,0)</f>
        <v>1</v>
      </c>
      <c r="Q445" s="3" t="n">
        <f aca="false">IF(F445="Cancelled",1,0)</f>
        <v>0</v>
      </c>
      <c r="R445" s="3" t="n">
        <f aca="false">IF(K445="Yes",1,0)</f>
        <v>1</v>
      </c>
    </row>
    <row r="446" customFormat="false" ht="15" hidden="false" customHeight="false" outlineLevel="0" collapsed="false">
      <c r="A446" s="0" t="s">
        <v>974</v>
      </c>
      <c r="B446" s="0" t="s">
        <v>26</v>
      </c>
      <c r="C446" s="2" t="s">
        <v>94</v>
      </c>
      <c r="D446" s="2" t="s">
        <v>604</v>
      </c>
      <c r="E446" s="3" t="s">
        <v>34</v>
      </c>
      <c r="F446" s="3" t="s">
        <v>29</v>
      </c>
      <c r="G446" s="0" t="n">
        <v>1069</v>
      </c>
      <c r="H446" s="4" t="n">
        <v>91.28</v>
      </c>
      <c r="I446" s="4" t="n">
        <v>82.64</v>
      </c>
      <c r="K446" s="3" t="s">
        <v>24</v>
      </c>
      <c r="L446" s="3" t="n">
        <f aca="false">IF(D446="","",IF(D446-C446&lt;0,"",D446-C446))</f>
        <v>1</v>
      </c>
      <c r="M446" s="4" t="n">
        <f aca="false">G446*I446</f>
        <v>88342.16</v>
      </c>
      <c r="N446" s="5" t="str">
        <f aca="false">IF(J446="","",J446/G446*100)</f>
        <v/>
      </c>
      <c r="O446" s="5" t="n">
        <f aca="false">(H446-I446)/H446*100</f>
        <v>9.46538124452235</v>
      </c>
      <c r="P446" s="3" t="n">
        <f aca="false">IF(OR(F446="Delivered",F446="Partially Delivered"),1,0)</f>
        <v>1</v>
      </c>
      <c r="Q446" s="3" t="n">
        <f aca="false">IF(F446="Cancelled",1,0)</f>
        <v>0</v>
      </c>
      <c r="R446" s="3" t="n">
        <f aca="false">IF(K446="Yes",1,0)</f>
        <v>1</v>
      </c>
    </row>
    <row r="447" customFormat="false" ht="15" hidden="false" customHeight="false" outlineLevel="0" collapsed="false">
      <c r="A447" s="0" t="s">
        <v>975</v>
      </c>
      <c r="B447" s="0" t="s">
        <v>19</v>
      </c>
      <c r="C447" s="2" t="s">
        <v>976</v>
      </c>
      <c r="D447" s="2" t="s">
        <v>764</v>
      </c>
      <c r="E447" s="3" t="s">
        <v>34</v>
      </c>
      <c r="F447" s="3" t="s">
        <v>62</v>
      </c>
      <c r="G447" s="0" t="n">
        <v>1902</v>
      </c>
      <c r="H447" s="4" t="n">
        <v>29.89</v>
      </c>
      <c r="I447" s="4" t="n">
        <v>25.83</v>
      </c>
      <c r="J447" s="0" t="n">
        <v>41</v>
      </c>
      <c r="K447" s="3" t="s">
        <v>24</v>
      </c>
      <c r="L447" s="3" t="n">
        <f aca="false">IF(D447="","",IF(D447-C447&lt;0,"",D447-C447))</f>
        <v>6</v>
      </c>
      <c r="M447" s="4" t="n">
        <f aca="false">G447*I447</f>
        <v>49128.66</v>
      </c>
      <c r="N447" s="5" t="n">
        <f aca="false">IF(J447="","",J447/G447*100)</f>
        <v>2.15562565720294</v>
      </c>
      <c r="O447" s="5" t="n">
        <f aca="false">(H447-I447)/H447*100</f>
        <v>13.5831381733021</v>
      </c>
      <c r="P447" s="3" t="n">
        <f aca="false">IF(OR(F447="Delivered",F447="Partially Delivered"),1,0)</f>
        <v>0</v>
      </c>
      <c r="Q447" s="3" t="n">
        <f aca="false">IF(F447="Cancelled",1,0)</f>
        <v>0</v>
      </c>
      <c r="R447" s="3" t="n">
        <f aca="false">IF(K447="Yes",1,0)</f>
        <v>1</v>
      </c>
    </row>
    <row r="448" customFormat="false" ht="15" hidden="false" customHeight="false" outlineLevel="0" collapsed="false">
      <c r="A448" s="0" t="s">
        <v>977</v>
      </c>
      <c r="B448" s="0" t="s">
        <v>31</v>
      </c>
      <c r="C448" s="2" t="s">
        <v>233</v>
      </c>
      <c r="D448" s="2"/>
      <c r="E448" s="3" t="s">
        <v>43</v>
      </c>
      <c r="F448" s="3" t="s">
        <v>62</v>
      </c>
      <c r="G448" s="0" t="n">
        <v>865</v>
      </c>
      <c r="H448" s="4" t="n">
        <v>28.79</v>
      </c>
      <c r="I448" s="4" t="n">
        <v>25.69</v>
      </c>
      <c r="J448" s="0" t="n">
        <v>47</v>
      </c>
      <c r="K448" s="3" t="s">
        <v>24</v>
      </c>
      <c r="L448" s="0" t="str">
        <f aca="false">IF(D448="","",IF(D448-C448&lt;0,"",D448-C448))</f>
        <v/>
      </c>
      <c r="M448" s="4" t="n">
        <f aca="false">G448*I448</f>
        <v>22221.85</v>
      </c>
      <c r="N448" s="5" t="n">
        <f aca="false">IF(J448="","",J448/G448*100)</f>
        <v>5.43352601156069</v>
      </c>
      <c r="O448" s="5" t="n">
        <f aca="false">(H448-I448)/H448*100</f>
        <v>10.7676276484891</v>
      </c>
      <c r="P448" s="3" t="n">
        <f aca="false">IF(OR(F448="Delivered",F448="Partially Delivered"),1,0)</f>
        <v>0</v>
      </c>
      <c r="Q448" s="3" t="n">
        <f aca="false">IF(F448="Cancelled",1,0)</f>
        <v>0</v>
      </c>
      <c r="R448" s="3" t="n">
        <f aca="false">IF(K448="Yes",1,0)</f>
        <v>1</v>
      </c>
    </row>
    <row r="449" customFormat="false" ht="15" hidden="false" customHeight="false" outlineLevel="0" collapsed="false">
      <c r="A449" s="0" t="s">
        <v>978</v>
      </c>
      <c r="B449" s="0" t="s">
        <v>26</v>
      </c>
      <c r="C449" s="2" t="s">
        <v>803</v>
      </c>
      <c r="D449" s="2" t="s">
        <v>979</v>
      </c>
      <c r="E449" s="3" t="s">
        <v>39</v>
      </c>
      <c r="F449" s="3" t="s">
        <v>58</v>
      </c>
      <c r="G449" s="0" t="n">
        <v>708</v>
      </c>
      <c r="H449" s="4" t="n">
        <v>13.36</v>
      </c>
      <c r="I449" s="4" t="n">
        <v>11.61</v>
      </c>
      <c r="K449" s="3" t="s">
        <v>44</v>
      </c>
      <c r="L449" s="3" t="n">
        <f aca="false">IF(D449="","",IF(D449-C449&lt;0,"",D449-C449))</f>
        <v>16</v>
      </c>
      <c r="M449" s="4" t="n">
        <f aca="false">G449*I449</f>
        <v>8219.88</v>
      </c>
      <c r="N449" s="5" t="str">
        <f aca="false">IF(J449="","",J449/G449*100)</f>
        <v/>
      </c>
      <c r="O449" s="5" t="n">
        <f aca="false">(H449-I449)/H449*100</f>
        <v>13.0988023952096</v>
      </c>
      <c r="P449" s="3" t="n">
        <f aca="false">IF(OR(F449="Delivered",F449="Partially Delivered"),1,0)</f>
        <v>1</v>
      </c>
      <c r="Q449" s="3" t="n">
        <f aca="false">IF(F449="Cancelled",1,0)</f>
        <v>0</v>
      </c>
      <c r="R449" s="3" t="n">
        <f aca="false">IF(K449="Yes",1,0)</f>
        <v>0</v>
      </c>
    </row>
    <row r="450" customFormat="false" ht="15" hidden="false" customHeight="false" outlineLevel="0" collapsed="false">
      <c r="A450" s="0" t="s">
        <v>980</v>
      </c>
      <c r="B450" s="0" t="s">
        <v>26</v>
      </c>
      <c r="C450" s="2" t="s">
        <v>981</v>
      </c>
      <c r="D450" s="2" t="s">
        <v>493</v>
      </c>
      <c r="E450" s="3" t="s">
        <v>39</v>
      </c>
      <c r="F450" s="3" t="s">
        <v>29</v>
      </c>
      <c r="G450" s="0" t="n">
        <v>1589</v>
      </c>
      <c r="H450" s="4" t="n">
        <v>55.64</v>
      </c>
      <c r="I450" s="4" t="n">
        <v>48.52</v>
      </c>
      <c r="K450" s="3" t="s">
        <v>24</v>
      </c>
      <c r="L450" s="3" t="n">
        <f aca="false">IF(D450="","",IF(D450-C450&lt;0,"",D450-C450))</f>
        <v>5</v>
      </c>
      <c r="M450" s="4" t="n">
        <f aca="false">G450*I450</f>
        <v>77098.28</v>
      </c>
      <c r="N450" s="5" t="str">
        <f aca="false">IF(J450="","",J450/G450*100)</f>
        <v/>
      </c>
      <c r="O450" s="5" t="n">
        <f aca="false">(H450-I450)/H450*100</f>
        <v>12.7965492451474</v>
      </c>
      <c r="P450" s="3" t="n">
        <f aca="false">IF(OR(F450="Delivered",F450="Partially Delivered"),1,0)</f>
        <v>1</v>
      </c>
      <c r="Q450" s="3" t="n">
        <f aca="false">IF(F450="Cancelled",1,0)</f>
        <v>0</v>
      </c>
      <c r="R450" s="3" t="n">
        <f aca="false">IF(K450="Yes",1,0)</f>
        <v>1</v>
      </c>
    </row>
    <row r="451" customFormat="false" ht="15" hidden="false" customHeight="false" outlineLevel="0" collapsed="false">
      <c r="A451" s="0" t="s">
        <v>982</v>
      </c>
      <c r="B451" s="0" t="s">
        <v>19</v>
      </c>
      <c r="C451" s="2" t="s">
        <v>914</v>
      </c>
      <c r="D451" s="2" t="s">
        <v>112</v>
      </c>
      <c r="E451" s="3" t="s">
        <v>22</v>
      </c>
      <c r="F451" s="3" t="s">
        <v>29</v>
      </c>
      <c r="G451" s="0" t="n">
        <v>596</v>
      </c>
      <c r="H451" s="4" t="n">
        <v>62.96</v>
      </c>
      <c r="I451" s="4" t="n">
        <v>61.88</v>
      </c>
      <c r="J451" s="0" t="n">
        <v>9</v>
      </c>
      <c r="K451" s="3" t="s">
        <v>24</v>
      </c>
      <c r="L451" s="3" t="n">
        <f aca="false">IF(D451="","",IF(D451-C451&lt;0,"",D451-C451))</f>
        <v>10</v>
      </c>
      <c r="M451" s="4" t="n">
        <f aca="false">G451*I451</f>
        <v>36880.48</v>
      </c>
      <c r="N451" s="5" t="n">
        <f aca="false">IF(J451="","",J451/G451*100)</f>
        <v>1.51006711409396</v>
      </c>
      <c r="O451" s="5" t="n">
        <f aca="false">(H451-I451)/H451*100</f>
        <v>1.71537484116899</v>
      </c>
      <c r="P451" s="3" t="n">
        <f aca="false">IF(OR(F451="Delivered",F451="Partially Delivered"),1,0)</f>
        <v>1</v>
      </c>
      <c r="Q451" s="3" t="n">
        <f aca="false">IF(F451="Cancelled",1,0)</f>
        <v>0</v>
      </c>
      <c r="R451" s="3" t="n">
        <f aca="false">IF(K451="Yes",1,0)</f>
        <v>1</v>
      </c>
    </row>
    <row r="452" customFormat="false" ht="15" hidden="false" customHeight="false" outlineLevel="0" collapsed="false">
      <c r="A452" s="0" t="s">
        <v>983</v>
      </c>
      <c r="B452" s="0" t="s">
        <v>46</v>
      </c>
      <c r="C452" s="2" t="s">
        <v>417</v>
      </c>
      <c r="D452" s="2" t="s">
        <v>984</v>
      </c>
      <c r="E452" s="3" t="s">
        <v>22</v>
      </c>
      <c r="F452" s="3" t="s">
        <v>29</v>
      </c>
      <c r="G452" s="0" t="n">
        <v>1265</v>
      </c>
      <c r="H452" s="4" t="n">
        <v>17.66</v>
      </c>
      <c r="I452" s="4" t="n">
        <v>16.97</v>
      </c>
      <c r="J452" s="0" t="n">
        <v>34</v>
      </c>
      <c r="K452" s="3" t="s">
        <v>24</v>
      </c>
      <c r="L452" s="3" t="n">
        <f aca="false">IF(D452="","",IF(D452-C452&lt;0,"",D452-C452))</f>
        <v>4</v>
      </c>
      <c r="M452" s="4" t="n">
        <f aca="false">G452*I452</f>
        <v>21467.05</v>
      </c>
      <c r="N452" s="5" t="n">
        <f aca="false">IF(J452="","",J452/G452*100)</f>
        <v>2.68774703557312</v>
      </c>
      <c r="O452" s="5" t="n">
        <f aca="false">(H452-I452)/H452*100</f>
        <v>3.90713476783693</v>
      </c>
      <c r="P452" s="3" t="n">
        <f aca="false">IF(OR(F452="Delivered",F452="Partially Delivered"),1,0)</f>
        <v>1</v>
      </c>
      <c r="Q452" s="3" t="n">
        <f aca="false">IF(F452="Cancelled",1,0)</f>
        <v>0</v>
      </c>
      <c r="R452" s="3" t="n">
        <f aca="false">IF(K452="Yes",1,0)</f>
        <v>1</v>
      </c>
    </row>
    <row r="453" customFormat="false" ht="15" hidden="false" customHeight="false" outlineLevel="0" collapsed="false">
      <c r="A453" s="0" t="s">
        <v>985</v>
      </c>
      <c r="B453" s="0" t="s">
        <v>36</v>
      </c>
      <c r="C453" s="2" t="s">
        <v>693</v>
      </c>
      <c r="D453" s="2" t="s">
        <v>248</v>
      </c>
      <c r="E453" s="3" t="s">
        <v>43</v>
      </c>
      <c r="F453" s="3" t="s">
        <v>29</v>
      </c>
      <c r="G453" s="0" t="n">
        <v>1122</v>
      </c>
      <c r="H453" s="4" t="n">
        <v>82.99</v>
      </c>
      <c r="I453" s="4" t="n">
        <v>81.7</v>
      </c>
      <c r="J453" s="0" t="n">
        <v>118</v>
      </c>
      <c r="K453" s="3" t="s">
        <v>44</v>
      </c>
      <c r="L453" s="3" t="n">
        <f aca="false">IF(D453="","",IF(D453-C453&lt;0,"",D453-C453))</f>
        <v>18</v>
      </c>
      <c r="M453" s="4" t="n">
        <f aca="false">G453*I453</f>
        <v>91667.4</v>
      </c>
      <c r="N453" s="5" t="n">
        <f aca="false">IF(J453="","",J453/G453*100)</f>
        <v>10.5169340463458</v>
      </c>
      <c r="O453" s="5" t="n">
        <f aca="false">(H453-I453)/H453*100</f>
        <v>1.55440414507771</v>
      </c>
      <c r="P453" s="3" t="n">
        <f aca="false">IF(OR(F453="Delivered",F453="Partially Delivered"),1,0)</f>
        <v>1</v>
      </c>
      <c r="Q453" s="3" t="n">
        <f aca="false">IF(F453="Cancelled",1,0)</f>
        <v>0</v>
      </c>
      <c r="R453" s="3" t="n">
        <f aca="false">IF(K453="Yes",1,0)</f>
        <v>0</v>
      </c>
    </row>
    <row r="454" customFormat="false" ht="15" hidden="false" customHeight="false" outlineLevel="0" collapsed="false">
      <c r="A454" s="0" t="s">
        <v>986</v>
      </c>
      <c r="B454" s="0" t="s">
        <v>46</v>
      </c>
      <c r="C454" s="2" t="s">
        <v>987</v>
      </c>
      <c r="D454" s="2" t="s">
        <v>253</v>
      </c>
      <c r="E454" s="3" t="s">
        <v>22</v>
      </c>
      <c r="F454" s="3" t="s">
        <v>29</v>
      </c>
      <c r="G454" s="0" t="n">
        <v>1585</v>
      </c>
      <c r="H454" s="4" t="n">
        <v>56.38</v>
      </c>
      <c r="I454" s="4" t="n">
        <v>53.05</v>
      </c>
      <c r="K454" s="3" t="s">
        <v>24</v>
      </c>
      <c r="L454" s="3" t="n">
        <f aca="false">IF(D454="","",IF(D454-C454&lt;0,"",D454-C454))</f>
        <v>17</v>
      </c>
      <c r="M454" s="4" t="n">
        <f aca="false">G454*I454</f>
        <v>84084.25</v>
      </c>
      <c r="N454" s="5" t="str">
        <f aca="false">IF(J454="","",J454/G454*100)</f>
        <v/>
      </c>
      <c r="O454" s="5" t="n">
        <f aca="false">(H454-I454)/H454*100</f>
        <v>5.90634976942179</v>
      </c>
      <c r="P454" s="3" t="n">
        <f aca="false">IF(OR(F454="Delivered",F454="Partially Delivered"),1,0)</f>
        <v>1</v>
      </c>
      <c r="Q454" s="3" t="n">
        <f aca="false">IF(F454="Cancelled",1,0)</f>
        <v>0</v>
      </c>
      <c r="R454" s="3" t="n">
        <f aca="false">IF(K454="Yes",1,0)</f>
        <v>1</v>
      </c>
    </row>
    <row r="455" customFormat="false" ht="15" hidden="false" customHeight="false" outlineLevel="0" collapsed="false">
      <c r="A455" s="0" t="s">
        <v>988</v>
      </c>
      <c r="B455" s="0" t="s">
        <v>46</v>
      </c>
      <c r="C455" s="2" t="s">
        <v>702</v>
      </c>
      <c r="D455" s="2" t="s">
        <v>146</v>
      </c>
      <c r="E455" s="3" t="s">
        <v>71</v>
      </c>
      <c r="F455" s="3" t="s">
        <v>29</v>
      </c>
      <c r="G455" s="0" t="n">
        <v>66</v>
      </c>
      <c r="H455" s="4" t="n">
        <v>58.05</v>
      </c>
      <c r="I455" s="4" t="n">
        <v>50.76</v>
      </c>
      <c r="K455" s="3" t="s">
        <v>24</v>
      </c>
      <c r="L455" s="3" t="n">
        <f aca="false">IF(D455="","",IF(D455-C455&lt;0,"",D455-C455))</f>
        <v>11</v>
      </c>
      <c r="M455" s="4" t="n">
        <f aca="false">G455*I455</f>
        <v>3350.16</v>
      </c>
      <c r="N455" s="5" t="str">
        <f aca="false">IF(J455="","",J455/G455*100)</f>
        <v/>
      </c>
      <c r="O455" s="5" t="n">
        <f aca="false">(H455-I455)/H455*100</f>
        <v>12.5581395348837</v>
      </c>
      <c r="P455" s="3" t="n">
        <f aca="false">IF(OR(F455="Delivered",F455="Partially Delivered"),1,0)</f>
        <v>1</v>
      </c>
      <c r="Q455" s="3" t="n">
        <f aca="false">IF(F455="Cancelled",1,0)</f>
        <v>0</v>
      </c>
      <c r="R455" s="3" t="n">
        <f aca="false">IF(K455="Yes",1,0)</f>
        <v>1</v>
      </c>
    </row>
    <row r="456" customFormat="false" ht="15" hidden="false" customHeight="false" outlineLevel="0" collapsed="false">
      <c r="A456" s="0" t="s">
        <v>989</v>
      </c>
      <c r="B456" s="0" t="s">
        <v>36</v>
      </c>
      <c r="C456" s="2" t="s">
        <v>649</v>
      </c>
      <c r="D456" s="2" t="s">
        <v>466</v>
      </c>
      <c r="E456" s="3" t="s">
        <v>34</v>
      </c>
      <c r="F456" s="3" t="s">
        <v>29</v>
      </c>
      <c r="G456" s="0" t="n">
        <v>1245</v>
      </c>
      <c r="H456" s="4" t="n">
        <v>52.4</v>
      </c>
      <c r="I456" s="4" t="n">
        <v>51.65</v>
      </c>
      <c r="J456" s="0" t="n">
        <v>118</v>
      </c>
      <c r="K456" s="3" t="s">
        <v>44</v>
      </c>
      <c r="L456" s="3" t="n">
        <f aca="false">IF(D456="","",IF(D456-C456&lt;0,"",D456-C456))</f>
        <v>20</v>
      </c>
      <c r="M456" s="4" t="n">
        <f aca="false">G456*I456</f>
        <v>64304.25</v>
      </c>
      <c r="N456" s="5" t="n">
        <f aca="false">IF(J456="","",J456/G456*100)</f>
        <v>9.47791164658635</v>
      </c>
      <c r="O456" s="5" t="n">
        <f aca="false">(H456-I456)/H456*100</f>
        <v>1.43129770992366</v>
      </c>
      <c r="P456" s="3" t="n">
        <f aca="false">IF(OR(F456="Delivered",F456="Partially Delivered"),1,0)</f>
        <v>1</v>
      </c>
      <c r="Q456" s="3" t="n">
        <f aca="false">IF(F456="Cancelled",1,0)</f>
        <v>0</v>
      </c>
      <c r="R456" s="3" t="n">
        <f aca="false">IF(K456="Yes",1,0)</f>
        <v>0</v>
      </c>
    </row>
    <row r="457" customFormat="false" ht="15" hidden="false" customHeight="false" outlineLevel="0" collapsed="false">
      <c r="A457" s="0" t="s">
        <v>990</v>
      </c>
      <c r="B457" s="0" t="s">
        <v>26</v>
      </c>
      <c r="C457" s="2" t="s">
        <v>891</v>
      </c>
      <c r="D457" s="2" t="s">
        <v>991</v>
      </c>
      <c r="E457" s="3" t="s">
        <v>71</v>
      </c>
      <c r="F457" s="3" t="s">
        <v>29</v>
      </c>
      <c r="G457" s="0" t="n">
        <v>1293</v>
      </c>
      <c r="H457" s="4" t="n">
        <v>50.21</v>
      </c>
      <c r="I457" s="4" t="n">
        <v>47.55</v>
      </c>
      <c r="K457" s="3" t="s">
        <v>44</v>
      </c>
      <c r="L457" s="3" t="n">
        <f aca="false">IF(D457="","",IF(D457-C457&lt;0,"",D457-C457))</f>
        <v>13</v>
      </c>
      <c r="M457" s="4" t="n">
        <f aca="false">G457*I457</f>
        <v>61482.15</v>
      </c>
      <c r="N457" s="5" t="str">
        <f aca="false">IF(J457="","",J457/G457*100)</f>
        <v/>
      </c>
      <c r="O457" s="5" t="n">
        <f aca="false">(H457-I457)/H457*100</f>
        <v>5.29774945230035</v>
      </c>
      <c r="P457" s="3" t="n">
        <f aca="false">IF(OR(F457="Delivered",F457="Partially Delivered"),1,0)</f>
        <v>1</v>
      </c>
      <c r="Q457" s="3" t="n">
        <f aca="false">IF(F457="Cancelled",1,0)</f>
        <v>0</v>
      </c>
      <c r="R457" s="3" t="n">
        <f aca="false">IF(K457="Yes",1,0)</f>
        <v>0</v>
      </c>
    </row>
    <row r="458" customFormat="false" ht="15" hidden="false" customHeight="false" outlineLevel="0" collapsed="false">
      <c r="A458" s="0" t="s">
        <v>992</v>
      </c>
      <c r="B458" s="0" t="s">
        <v>36</v>
      </c>
      <c r="C458" s="2" t="s">
        <v>635</v>
      </c>
      <c r="D458" s="2" t="s">
        <v>725</v>
      </c>
      <c r="E458" s="3" t="s">
        <v>39</v>
      </c>
      <c r="F458" s="3" t="s">
        <v>29</v>
      </c>
      <c r="G458" s="0" t="n">
        <v>207</v>
      </c>
      <c r="H458" s="4" t="n">
        <v>64.29</v>
      </c>
      <c r="I458" s="4" t="n">
        <v>63.01</v>
      </c>
      <c r="J458" s="0" t="n">
        <v>25</v>
      </c>
      <c r="K458" s="3" t="s">
        <v>24</v>
      </c>
      <c r="L458" s="3" t="n">
        <f aca="false">IF(D458="","",IF(D458-C458&lt;0,"",D458-C458))</f>
        <v>6</v>
      </c>
      <c r="M458" s="4" t="n">
        <f aca="false">G458*I458</f>
        <v>13043.07</v>
      </c>
      <c r="N458" s="5" t="n">
        <f aca="false">IF(J458="","",J458/G458*100)</f>
        <v>12.0772946859903</v>
      </c>
      <c r="O458" s="5" t="n">
        <f aca="false">(H458-I458)/H458*100</f>
        <v>1.99097837921918</v>
      </c>
      <c r="P458" s="3" t="n">
        <f aca="false">IF(OR(F458="Delivered",F458="Partially Delivered"),1,0)</f>
        <v>1</v>
      </c>
      <c r="Q458" s="3" t="n">
        <f aca="false">IF(F458="Cancelled",1,0)</f>
        <v>0</v>
      </c>
      <c r="R458" s="3" t="n">
        <f aca="false">IF(K458="Yes",1,0)</f>
        <v>1</v>
      </c>
    </row>
    <row r="459" customFormat="false" ht="15" hidden="false" customHeight="false" outlineLevel="0" collapsed="false">
      <c r="A459" s="0" t="s">
        <v>993</v>
      </c>
      <c r="B459" s="0" t="s">
        <v>36</v>
      </c>
      <c r="C459" s="2" t="s">
        <v>994</v>
      </c>
      <c r="D459" s="2" t="s">
        <v>281</v>
      </c>
      <c r="E459" s="3" t="s">
        <v>22</v>
      </c>
      <c r="F459" s="3" t="s">
        <v>29</v>
      </c>
      <c r="G459" s="0" t="n">
        <v>526</v>
      </c>
      <c r="H459" s="4" t="n">
        <v>26.37</v>
      </c>
      <c r="I459" s="4" t="n">
        <v>25.32</v>
      </c>
      <c r="J459" s="0" t="n">
        <v>47</v>
      </c>
      <c r="K459" s="3" t="s">
        <v>24</v>
      </c>
      <c r="L459" s="3" t="n">
        <f aca="false">IF(D459="","",IF(D459-C459&lt;0,"",D459-C459))</f>
        <v>20</v>
      </c>
      <c r="M459" s="4" t="n">
        <f aca="false">G459*I459</f>
        <v>13318.32</v>
      </c>
      <c r="N459" s="5" t="n">
        <f aca="false">IF(J459="","",J459/G459*100)</f>
        <v>8.93536121673004</v>
      </c>
      <c r="O459" s="5" t="n">
        <f aca="false">(H459-I459)/H459*100</f>
        <v>3.98179749715586</v>
      </c>
      <c r="P459" s="3" t="n">
        <f aca="false">IF(OR(F459="Delivered",F459="Partially Delivered"),1,0)</f>
        <v>1</v>
      </c>
      <c r="Q459" s="3" t="n">
        <f aca="false">IF(F459="Cancelled",1,0)</f>
        <v>0</v>
      </c>
      <c r="R459" s="3" t="n">
        <f aca="false">IF(K459="Yes",1,0)</f>
        <v>1</v>
      </c>
    </row>
    <row r="460" customFormat="false" ht="15" hidden="false" customHeight="false" outlineLevel="0" collapsed="false">
      <c r="A460" s="0" t="s">
        <v>995</v>
      </c>
      <c r="B460" s="0" t="s">
        <v>31</v>
      </c>
      <c r="C460" s="2" t="s">
        <v>750</v>
      </c>
      <c r="D460" s="2" t="s">
        <v>385</v>
      </c>
      <c r="E460" s="3" t="s">
        <v>71</v>
      </c>
      <c r="F460" s="3" t="s">
        <v>29</v>
      </c>
      <c r="G460" s="0" t="n">
        <v>1119</v>
      </c>
      <c r="H460" s="4" t="n">
        <v>27.03</v>
      </c>
      <c r="I460" s="4" t="n">
        <v>23.82</v>
      </c>
      <c r="K460" s="3" t="s">
        <v>24</v>
      </c>
      <c r="L460" s="3" t="n">
        <f aca="false">IF(D460="","",IF(D460-C460&lt;0,"",D460-C460))</f>
        <v>6</v>
      </c>
      <c r="M460" s="4" t="n">
        <f aca="false">G460*I460</f>
        <v>26654.58</v>
      </c>
      <c r="N460" s="5" t="str">
        <f aca="false">IF(J460="","",J460/G460*100)</f>
        <v/>
      </c>
      <c r="O460" s="5" t="n">
        <f aca="false">(H460-I460)/H460*100</f>
        <v>11.8756936736959</v>
      </c>
      <c r="P460" s="3" t="n">
        <f aca="false">IF(OR(F460="Delivered",F460="Partially Delivered"),1,0)</f>
        <v>1</v>
      </c>
      <c r="Q460" s="3" t="n">
        <f aca="false">IF(F460="Cancelled",1,0)</f>
        <v>0</v>
      </c>
      <c r="R460" s="3" t="n">
        <f aca="false">IF(K460="Yes",1,0)</f>
        <v>1</v>
      </c>
    </row>
    <row r="461" customFormat="false" ht="15" hidden="false" customHeight="false" outlineLevel="0" collapsed="false">
      <c r="A461" s="0" t="s">
        <v>996</v>
      </c>
      <c r="B461" s="0" t="s">
        <v>31</v>
      </c>
      <c r="C461" s="2" t="s">
        <v>82</v>
      </c>
      <c r="D461" s="2" t="s">
        <v>823</v>
      </c>
      <c r="E461" s="3" t="s">
        <v>39</v>
      </c>
      <c r="F461" s="3" t="s">
        <v>29</v>
      </c>
      <c r="G461" s="0" t="n">
        <v>1446</v>
      </c>
      <c r="H461" s="4" t="n">
        <v>90.63</v>
      </c>
      <c r="I461" s="4" t="n">
        <v>84.51</v>
      </c>
      <c r="J461" s="0" t="n">
        <v>77</v>
      </c>
      <c r="K461" s="3" t="s">
        <v>24</v>
      </c>
      <c r="L461" s="3" t="n">
        <f aca="false">IF(D461="","",IF(D461-C461&lt;0,"",D461-C461))</f>
        <v>2</v>
      </c>
      <c r="M461" s="4" t="n">
        <f aca="false">G461*I461</f>
        <v>122201.46</v>
      </c>
      <c r="N461" s="5" t="n">
        <f aca="false">IF(J461="","",J461/G461*100)</f>
        <v>5.32503457814661</v>
      </c>
      <c r="O461" s="5" t="n">
        <f aca="false">(H461-I461)/H461*100</f>
        <v>6.7527308838133</v>
      </c>
      <c r="P461" s="3" t="n">
        <f aca="false">IF(OR(F461="Delivered",F461="Partially Delivered"),1,0)</f>
        <v>1</v>
      </c>
      <c r="Q461" s="3" t="n">
        <f aca="false">IF(F461="Cancelled",1,0)</f>
        <v>0</v>
      </c>
      <c r="R461" s="3" t="n">
        <f aca="false">IF(K461="Yes",1,0)</f>
        <v>1</v>
      </c>
    </row>
    <row r="462" customFormat="false" ht="15" hidden="false" customHeight="false" outlineLevel="0" collapsed="false">
      <c r="A462" s="0" t="s">
        <v>997</v>
      </c>
      <c r="B462" s="0" t="s">
        <v>31</v>
      </c>
      <c r="C462" s="2" t="s">
        <v>236</v>
      </c>
      <c r="D462" s="2" t="s">
        <v>435</v>
      </c>
      <c r="E462" s="3" t="s">
        <v>22</v>
      </c>
      <c r="F462" s="3" t="s">
        <v>29</v>
      </c>
      <c r="G462" s="0" t="n">
        <v>567</v>
      </c>
      <c r="H462" s="4" t="n">
        <v>97.53</v>
      </c>
      <c r="I462" s="4" t="n">
        <v>85.29</v>
      </c>
      <c r="J462" s="0" t="n">
        <v>21</v>
      </c>
      <c r="K462" s="3" t="s">
        <v>24</v>
      </c>
      <c r="L462" s="3" t="n">
        <f aca="false">IF(D462="","",IF(D462-C462&lt;0,"",D462-C462))</f>
        <v>8</v>
      </c>
      <c r="M462" s="4" t="n">
        <f aca="false">G462*I462</f>
        <v>48359.43</v>
      </c>
      <c r="N462" s="5" t="n">
        <f aca="false">IF(J462="","",J462/G462*100)</f>
        <v>3.7037037037037</v>
      </c>
      <c r="O462" s="5" t="n">
        <f aca="false">(H462-I462)/H462*100</f>
        <v>12.5499846201169</v>
      </c>
      <c r="P462" s="3" t="n">
        <f aca="false">IF(OR(F462="Delivered",F462="Partially Delivered"),1,0)</f>
        <v>1</v>
      </c>
      <c r="Q462" s="3" t="n">
        <f aca="false">IF(F462="Cancelled",1,0)</f>
        <v>0</v>
      </c>
      <c r="R462" s="3" t="n">
        <f aca="false">IF(K462="Yes",1,0)</f>
        <v>1</v>
      </c>
    </row>
    <row r="463" customFormat="false" ht="15" hidden="false" customHeight="false" outlineLevel="0" collapsed="false">
      <c r="A463" s="0" t="s">
        <v>998</v>
      </c>
      <c r="B463" s="0" t="s">
        <v>26</v>
      </c>
      <c r="C463" s="2" t="s">
        <v>999</v>
      </c>
      <c r="D463" s="2"/>
      <c r="E463" s="3" t="s">
        <v>34</v>
      </c>
      <c r="F463" s="3" t="s">
        <v>29</v>
      </c>
      <c r="G463" s="0" t="n">
        <v>148</v>
      </c>
      <c r="H463" s="4" t="n">
        <v>44.91</v>
      </c>
      <c r="I463" s="4" t="n">
        <v>40.1</v>
      </c>
      <c r="K463" s="3" t="s">
        <v>44</v>
      </c>
      <c r="L463" s="0" t="str">
        <f aca="false">IF(D463="","",IF(D463-C463&lt;0,"",D463-C463))</f>
        <v/>
      </c>
      <c r="M463" s="4" t="n">
        <f aca="false">G463*I463</f>
        <v>5934.8</v>
      </c>
      <c r="N463" s="5" t="str">
        <f aca="false">IF(J463="","",J463/G463*100)</f>
        <v/>
      </c>
      <c r="O463" s="5" t="n">
        <f aca="false">(H463-I463)/H463*100</f>
        <v>10.7103095079047</v>
      </c>
      <c r="P463" s="3" t="n">
        <f aca="false">IF(OR(F463="Delivered",F463="Partially Delivered"),1,0)</f>
        <v>1</v>
      </c>
      <c r="Q463" s="3" t="n">
        <f aca="false">IF(F463="Cancelled",1,0)</f>
        <v>0</v>
      </c>
      <c r="R463" s="3" t="n">
        <f aca="false">IF(K463="Yes",1,0)</f>
        <v>0</v>
      </c>
    </row>
    <row r="464" customFormat="false" ht="15" hidden="false" customHeight="false" outlineLevel="0" collapsed="false">
      <c r="A464" s="0" t="s">
        <v>1000</v>
      </c>
      <c r="B464" s="0" t="s">
        <v>36</v>
      </c>
      <c r="C464" s="2" t="s">
        <v>725</v>
      </c>
      <c r="D464" s="2" t="s">
        <v>949</v>
      </c>
      <c r="E464" s="3" t="s">
        <v>34</v>
      </c>
      <c r="F464" s="3" t="s">
        <v>62</v>
      </c>
      <c r="G464" s="0" t="n">
        <v>1965</v>
      </c>
      <c r="H464" s="4" t="n">
        <v>36.6</v>
      </c>
      <c r="I464" s="4" t="n">
        <v>34.64</v>
      </c>
      <c r="J464" s="0" t="n">
        <v>195</v>
      </c>
      <c r="K464" s="3" t="s">
        <v>24</v>
      </c>
      <c r="L464" s="3" t="n">
        <f aca="false">IF(D464="","",IF(D464-C464&lt;0,"",D464-C464))</f>
        <v>15</v>
      </c>
      <c r="M464" s="4" t="n">
        <f aca="false">G464*I464</f>
        <v>68067.6</v>
      </c>
      <c r="N464" s="5" t="n">
        <f aca="false">IF(J464="","",J464/G464*100)</f>
        <v>9.92366412213741</v>
      </c>
      <c r="O464" s="5" t="n">
        <f aca="false">(H464-I464)/H464*100</f>
        <v>5.3551912568306</v>
      </c>
      <c r="P464" s="3" t="n">
        <f aca="false">IF(OR(F464="Delivered",F464="Partially Delivered"),1,0)</f>
        <v>0</v>
      </c>
      <c r="Q464" s="3" t="n">
        <f aca="false">IF(F464="Cancelled",1,0)</f>
        <v>0</v>
      </c>
      <c r="R464" s="3" t="n">
        <f aca="false">IF(K464="Yes",1,0)</f>
        <v>1</v>
      </c>
    </row>
    <row r="465" customFormat="false" ht="15" hidden="false" customHeight="false" outlineLevel="0" collapsed="false">
      <c r="A465" s="0" t="s">
        <v>1001</v>
      </c>
      <c r="B465" s="0" t="s">
        <v>19</v>
      </c>
      <c r="C465" s="2" t="s">
        <v>32</v>
      </c>
      <c r="D465" s="2" t="s">
        <v>1002</v>
      </c>
      <c r="E465" s="3" t="s">
        <v>22</v>
      </c>
      <c r="F465" s="3" t="s">
        <v>62</v>
      </c>
      <c r="G465" s="0" t="n">
        <v>1818</v>
      </c>
      <c r="H465" s="4" t="n">
        <v>67.96</v>
      </c>
      <c r="I465" s="4" t="n">
        <v>58.98</v>
      </c>
      <c r="K465" s="3" t="s">
        <v>24</v>
      </c>
      <c r="L465" s="3" t="n">
        <f aca="false">IF(D465="","",IF(D465-C465&lt;0,"",D465-C465))</f>
        <v>8</v>
      </c>
      <c r="M465" s="4" t="n">
        <f aca="false">G465*I465</f>
        <v>107225.64</v>
      </c>
      <c r="N465" s="5" t="str">
        <f aca="false">IF(J465="","",J465/G465*100)</f>
        <v/>
      </c>
      <c r="O465" s="5" t="n">
        <f aca="false">(H465-I465)/H465*100</f>
        <v>13.2136550912301</v>
      </c>
      <c r="P465" s="3" t="n">
        <f aca="false">IF(OR(F465="Delivered",F465="Partially Delivered"),1,0)</f>
        <v>0</v>
      </c>
      <c r="Q465" s="3" t="n">
        <f aca="false">IF(F465="Cancelled",1,0)</f>
        <v>0</v>
      </c>
      <c r="R465" s="3" t="n">
        <f aca="false">IF(K465="Yes",1,0)</f>
        <v>1</v>
      </c>
    </row>
    <row r="466" customFormat="false" ht="15" hidden="false" customHeight="false" outlineLevel="0" collapsed="false">
      <c r="A466" s="0" t="s">
        <v>1003</v>
      </c>
      <c r="B466" s="0" t="s">
        <v>36</v>
      </c>
      <c r="C466" s="2" t="s">
        <v>1004</v>
      </c>
      <c r="D466" s="2" t="s">
        <v>1005</v>
      </c>
      <c r="E466" s="3" t="s">
        <v>34</v>
      </c>
      <c r="F466" s="3" t="s">
        <v>29</v>
      </c>
      <c r="G466" s="0" t="n">
        <v>1110</v>
      </c>
      <c r="H466" s="4" t="n">
        <v>48.19</v>
      </c>
      <c r="I466" s="4" t="n">
        <v>45.88</v>
      </c>
      <c r="J466" s="0" t="n">
        <v>112</v>
      </c>
      <c r="K466" s="3" t="s">
        <v>24</v>
      </c>
      <c r="L466" s="3" t="n">
        <f aca="false">IF(D466="","",IF(D466-C466&lt;0,"",D466-C466))</f>
        <v>16</v>
      </c>
      <c r="M466" s="4" t="n">
        <f aca="false">G466*I466</f>
        <v>50926.8</v>
      </c>
      <c r="N466" s="5" t="n">
        <f aca="false">IF(J466="","",J466/G466*100)</f>
        <v>10.0900900900901</v>
      </c>
      <c r="O466" s="5" t="n">
        <f aca="false">(H466-I466)/H466*100</f>
        <v>4.79352562772358</v>
      </c>
      <c r="P466" s="3" t="n">
        <f aca="false">IF(OR(F466="Delivered",F466="Partially Delivered"),1,0)</f>
        <v>1</v>
      </c>
      <c r="Q466" s="3" t="n">
        <f aca="false">IF(F466="Cancelled",1,0)</f>
        <v>0</v>
      </c>
      <c r="R466" s="3" t="n">
        <f aca="false">IF(K466="Yes",1,0)</f>
        <v>1</v>
      </c>
    </row>
    <row r="467" customFormat="false" ht="15" hidden="false" customHeight="false" outlineLevel="0" collapsed="false">
      <c r="A467" s="0" t="s">
        <v>1006</v>
      </c>
      <c r="B467" s="0" t="s">
        <v>26</v>
      </c>
      <c r="C467" s="2" t="s">
        <v>1007</v>
      </c>
      <c r="D467" s="2"/>
      <c r="E467" s="3" t="s">
        <v>43</v>
      </c>
      <c r="F467" s="3" t="s">
        <v>29</v>
      </c>
      <c r="G467" s="0" t="n">
        <v>329</v>
      </c>
      <c r="H467" s="4" t="n">
        <v>12.96</v>
      </c>
      <c r="I467" s="4" t="n">
        <v>12.74</v>
      </c>
      <c r="J467" s="0" t="n">
        <v>48</v>
      </c>
      <c r="K467" s="3" t="s">
        <v>24</v>
      </c>
      <c r="L467" s="0" t="str">
        <f aca="false">IF(D467="","",IF(D467-C467&lt;0,"",D467-C467))</f>
        <v/>
      </c>
      <c r="M467" s="4" t="n">
        <f aca="false">G467*I467</f>
        <v>4191.46</v>
      </c>
      <c r="N467" s="5" t="n">
        <f aca="false">IF(J467="","",J467/G467*100)</f>
        <v>14.5896656534954</v>
      </c>
      <c r="O467" s="5" t="n">
        <f aca="false">(H467-I467)/H467*100</f>
        <v>1.69753086419754</v>
      </c>
      <c r="P467" s="3" t="n">
        <f aca="false">IF(OR(F467="Delivered",F467="Partially Delivered"),1,0)</f>
        <v>1</v>
      </c>
      <c r="Q467" s="3" t="n">
        <f aca="false">IF(F467="Cancelled",1,0)</f>
        <v>0</v>
      </c>
      <c r="R467" s="3" t="n">
        <f aca="false">IF(K467="Yes",1,0)</f>
        <v>1</v>
      </c>
    </row>
    <row r="468" customFormat="false" ht="15" hidden="false" customHeight="false" outlineLevel="0" collapsed="false">
      <c r="A468" s="0" t="s">
        <v>1008</v>
      </c>
      <c r="B468" s="0" t="s">
        <v>31</v>
      </c>
      <c r="C468" s="2" t="s">
        <v>1009</v>
      </c>
      <c r="D468" s="2" t="s">
        <v>132</v>
      </c>
      <c r="E468" s="3" t="s">
        <v>22</v>
      </c>
      <c r="F468" s="3" t="s">
        <v>23</v>
      </c>
      <c r="G468" s="0" t="n">
        <v>1422</v>
      </c>
      <c r="H468" s="4" t="n">
        <v>25.62</v>
      </c>
      <c r="I468" s="4" t="n">
        <v>25.18</v>
      </c>
      <c r="J468" s="0" t="n">
        <v>65</v>
      </c>
      <c r="K468" s="3" t="s">
        <v>24</v>
      </c>
      <c r="L468" s="3" t="n">
        <f aca="false">IF(D468="","",IF(D468-C468&lt;0,"",D468-C468))</f>
        <v>19</v>
      </c>
      <c r="M468" s="4" t="n">
        <f aca="false">G468*I468</f>
        <v>35805.96</v>
      </c>
      <c r="N468" s="5" t="n">
        <f aca="false">IF(J468="","",J468/G468*100)</f>
        <v>4.57102672292546</v>
      </c>
      <c r="O468" s="5" t="n">
        <f aca="false">(H468-I468)/H468*100</f>
        <v>1.71740827478533</v>
      </c>
      <c r="P468" s="3" t="n">
        <f aca="false">IF(OR(F468="Delivered",F468="Partially Delivered"),1,0)</f>
        <v>0</v>
      </c>
      <c r="Q468" s="3" t="n">
        <f aca="false">IF(F468="Cancelled",1,0)</f>
        <v>1</v>
      </c>
      <c r="R468" s="3" t="n">
        <f aca="false">IF(K468="Yes",1,0)</f>
        <v>1</v>
      </c>
    </row>
    <row r="469" customFormat="false" ht="15" hidden="false" customHeight="false" outlineLevel="0" collapsed="false">
      <c r="A469" s="0" t="s">
        <v>1010</v>
      </c>
      <c r="B469" s="0" t="s">
        <v>26</v>
      </c>
      <c r="C469" s="2" t="s">
        <v>614</v>
      </c>
      <c r="D469" s="2"/>
      <c r="E469" s="3" t="s">
        <v>43</v>
      </c>
      <c r="F469" s="3" t="s">
        <v>29</v>
      </c>
      <c r="G469" s="0" t="n">
        <v>546</v>
      </c>
      <c r="H469" s="4" t="n">
        <v>82.63</v>
      </c>
      <c r="I469" s="4" t="n">
        <v>74.77</v>
      </c>
      <c r="J469" s="0" t="n">
        <v>76</v>
      </c>
      <c r="K469" s="3" t="s">
        <v>44</v>
      </c>
      <c r="L469" s="0" t="str">
        <f aca="false">IF(D469="","",IF(D469-C469&lt;0,"",D469-C469))</f>
        <v/>
      </c>
      <c r="M469" s="4" t="n">
        <f aca="false">G469*I469</f>
        <v>40824.42</v>
      </c>
      <c r="N469" s="5" t="n">
        <f aca="false">IF(J469="","",J469/G469*100)</f>
        <v>13.9194139194139</v>
      </c>
      <c r="O469" s="5" t="n">
        <f aca="false">(H469-I469)/H469*100</f>
        <v>9.51228367421034</v>
      </c>
      <c r="P469" s="3" t="n">
        <f aca="false">IF(OR(F469="Delivered",F469="Partially Delivered"),1,0)</f>
        <v>1</v>
      </c>
      <c r="Q469" s="3" t="n">
        <f aca="false">IF(F469="Cancelled",1,0)</f>
        <v>0</v>
      </c>
      <c r="R469" s="3" t="n">
        <f aca="false">IF(K469="Yes",1,0)</f>
        <v>0</v>
      </c>
    </row>
    <row r="470" customFormat="false" ht="15" hidden="false" customHeight="false" outlineLevel="0" collapsed="false">
      <c r="A470" s="0" t="s">
        <v>1011</v>
      </c>
      <c r="B470" s="0" t="s">
        <v>31</v>
      </c>
      <c r="C470" s="2" t="s">
        <v>678</v>
      </c>
      <c r="D470" s="2" t="s">
        <v>406</v>
      </c>
      <c r="E470" s="3" t="s">
        <v>22</v>
      </c>
      <c r="F470" s="3" t="s">
        <v>58</v>
      </c>
      <c r="G470" s="0" t="n">
        <v>351</v>
      </c>
      <c r="H470" s="4" t="n">
        <v>72.08</v>
      </c>
      <c r="I470" s="4" t="n">
        <v>71.3</v>
      </c>
      <c r="J470" s="0" t="n">
        <v>20</v>
      </c>
      <c r="K470" s="3" t="s">
        <v>24</v>
      </c>
      <c r="L470" s="3" t="n">
        <f aca="false">IF(D470="","",IF(D470-C470&lt;0,"",D470-C470))</f>
        <v>10</v>
      </c>
      <c r="M470" s="4" t="n">
        <f aca="false">G470*I470</f>
        <v>25026.3</v>
      </c>
      <c r="N470" s="5" t="n">
        <f aca="false">IF(J470="","",J470/G470*100)</f>
        <v>5.6980056980057</v>
      </c>
      <c r="O470" s="5" t="n">
        <f aca="false">(H470-I470)/H470*100</f>
        <v>1.08213096559379</v>
      </c>
      <c r="P470" s="3" t="n">
        <f aca="false">IF(OR(F470="Delivered",F470="Partially Delivered"),1,0)</f>
        <v>1</v>
      </c>
      <c r="Q470" s="3" t="n">
        <f aca="false">IF(F470="Cancelled",1,0)</f>
        <v>0</v>
      </c>
      <c r="R470" s="3" t="n">
        <f aca="false">IF(K470="Yes",1,0)</f>
        <v>1</v>
      </c>
    </row>
    <row r="471" customFormat="false" ht="15" hidden="false" customHeight="false" outlineLevel="0" collapsed="false">
      <c r="A471" s="0" t="s">
        <v>1012</v>
      </c>
      <c r="B471" s="0" t="s">
        <v>26</v>
      </c>
      <c r="C471" s="2" t="s">
        <v>248</v>
      </c>
      <c r="D471" s="2" t="s">
        <v>1013</v>
      </c>
      <c r="E471" s="3" t="s">
        <v>43</v>
      </c>
      <c r="F471" s="3" t="s">
        <v>58</v>
      </c>
      <c r="G471" s="0" t="n">
        <v>230</v>
      </c>
      <c r="H471" s="4" t="n">
        <v>13</v>
      </c>
      <c r="I471" s="4" t="n">
        <v>12.81</v>
      </c>
      <c r="K471" s="3" t="s">
        <v>44</v>
      </c>
      <c r="L471" s="3" t="n">
        <f aca="false">IF(D471="","",IF(D471-C471&lt;0,"",D471-C471))</f>
        <v>17</v>
      </c>
      <c r="M471" s="4" t="n">
        <f aca="false">G471*I471</f>
        <v>2946.3</v>
      </c>
      <c r="N471" s="5" t="str">
        <f aca="false">IF(J471="","",J471/G471*100)</f>
        <v/>
      </c>
      <c r="O471" s="5" t="n">
        <f aca="false">(H471-I471)/H471*100</f>
        <v>1.46153846153846</v>
      </c>
      <c r="P471" s="3" t="n">
        <f aca="false">IF(OR(F471="Delivered",F471="Partially Delivered"),1,0)</f>
        <v>1</v>
      </c>
      <c r="Q471" s="3" t="n">
        <f aca="false">IF(F471="Cancelled",1,0)</f>
        <v>0</v>
      </c>
      <c r="R471" s="3" t="n">
        <f aca="false">IF(K471="Yes",1,0)</f>
        <v>0</v>
      </c>
    </row>
    <row r="472" customFormat="false" ht="15" hidden="false" customHeight="false" outlineLevel="0" collapsed="false">
      <c r="A472" s="0" t="s">
        <v>1014</v>
      </c>
      <c r="B472" s="0" t="s">
        <v>19</v>
      </c>
      <c r="C472" s="2" t="s">
        <v>126</v>
      </c>
      <c r="D472" s="2" t="s">
        <v>529</v>
      </c>
      <c r="E472" s="3" t="s">
        <v>34</v>
      </c>
      <c r="F472" s="3" t="s">
        <v>29</v>
      </c>
      <c r="G472" s="0" t="n">
        <v>656</v>
      </c>
      <c r="H472" s="4" t="n">
        <v>30.73</v>
      </c>
      <c r="I472" s="4" t="n">
        <v>26.26</v>
      </c>
      <c r="J472" s="0" t="n">
        <v>17</v>
      </c>
      <c r="K472" s="3" t="s">
        <v>24</v>
      </c>
      <c r="L472" s="3" t="n">
        <f aca="false">IF(D472="","",IF(D472-C472&lt;0,"",D472-C472))</f>
        <v>6</v>
      </c>
      <c r="M472" s="4" t="n">
        <f aca="false">G472*I472</f>
        <v>17226.56</v>
      </c>
      <c r="N472" s="5" t="n">
        <f aca="false">IF(J472="","",J472/G472*100)</f>
        <v>2.59146341463415</v>
      </c>
      <c r="O472" s="5" t="n">
        <f aca="false">(H472-I472)/H472*100</f>
        <v>14.5460462089164</v>
      </c>
      <c r="P472" s="3" t="n">
        <f aca="false">IF(OR(F472="Delivered",F472="Partially Delivered"),1,0)</f>
        <v>1</v>
      </c>
      <c r="Q472" s="3" t="n">
        <f aca="false">IF(F472="Cancelled",1,0)</f>
        <v>0</v>
      </c>
      <c r="R472" s="3" t="n">
        <f aca="false">IF(K472="Yes",1,0)</f>
        <v>1</v>
      </c>
    </row>
    <row r="473" customFormat="false" ht="15" hidden="false" customHeight="false" outlineLevel="0" collapsed="false">
      <c r="A473" s="0" t="s">
        <v>1015</v>
      </c>
      <c r="B473" s="0" t="s">
        <v>31</v>
      </c>
      <c r="C473" s="2" t="s">
        <v>105</v>
      </c>
      <c r="D473" s="2" t="s">
        <v>1016</v>
      </c>
      <c r="E473" s="3" t="s">
        <v>34</v>
      </c>
      <c r="F473" s="3" t="s">
        <v>29</v>
      </c>
      <c r="G473" s="0" t="n">
        <v>1172</v>
      </c>
      <c r="H473" s="4" t="n">
        <v>34.34</v>
      </c>
      <c r="I473" s="4" t="n">
        <v>32.09</v>
      </c>
      <c r="J473" s="0" t="n">
        <v>69</v>
      </c>
      <c r="K473" s="3" t="s">
        <v>24</v>
      </c>
      <c r="L473" s="3" t="n">
        <f aca="false">IF(D473="","",IF(D473-C473&lt;0,"",D473-C473))</f>
        <v>20</v>
      </c>
      <c r="M473" s="4" t="n">
        <f aca="false">G473*I473</f>
        <v>37609.48</v>
      </c>
      <c r="N473" s="5" t="n">
        <f aca="false">IF(J473="","",J473/G473*100)</f>
        <v>5.88737201365188</v>
      </c>
      <c r="O473" s="5" t="n">
        <f aca="false">(H473-I473)/H473*100</f>
        <v>6.55212580081538</v>
      </c>
      <c r="P473" s="3" t="n">
        <f aca="false">IF(OR(F473="Delivered",F473="Partially Delivered"),1,0)</f>
        <v>1</v>
      </c>
      <c r="Q473" s="3" t="n">
        <f aca="false">IF(F473="Cancelled",1,0)</f>
        <v>0</v>
      </c>
      <c r="R473" s="3" t="n">
        <f aca="false">IF(K473="Yes",1,0)</f>
        <v>1</v>
      </c>
    </row>
    <row r="474" customFormat="false" ht="15" hidden="false" customHeight="false" outlineLevel="0" collapsed="false">
      <c r="A474" s="0" t="s">
        <v>1017</v>
      </c>
      <c r="B474" s="0" t="s">
        <v>31</v>
      </c>
      <c r="C474" s="2" t="s">
        <v>79</v>
      </c>
      <c r="D474" s="2" t="s">
        <v>427</v>
      </c>
      <c r="E474" s="3" t="s">
        <v>71</v>
      </c>
      <c r="F474" s="3" t="s">
        <v>29</v>
      </c>
      <c r="G474" s="0" t="n">
        <v>749</v>
      </c>
      <c r="H474" s="4" t="n">
        <v>71.53</v>
      </c>
      <c r="I474" s="4" t="n">
        <v>70.02</v>
      </c>
      <c r="J474" s="0" t="n">
        <v>41</v>
      </c>
      <c r="K474" s="3" t="s">
        <v>24</v>
      </c>
      <c r="L474" s="3" t="n">
        <f aca="false">IF(D474="","",IF(D474-C474&lt;0,"",D474-C474))</f>
        <v>9</v>
      </c>
      <c r="M474" s="4" t="n">
        <f aca="false">G474*I474</f>
        <v>52444.98</v>
      </c>
      <c r="N474" s="5" t="n">
        <f aca="false">IF(J474="","",J474/G474*100)</f>
        <v>5.4739652870494</v>
      </c>
      <c r="O474" s="5" t="n">
        <f aca="false">(H474-I474)/H474*100</f>
        <v>2.1110023766252</v>
      </c>
      <c r="P474" s="3" t="n">
        <f aca="false">IF(OR(F474="Delivered",F474="Partially Delivered"),1,0)</f>
        <v>1</v>
      </c>
      <c r="Q474" s="3" t="n">
        <f aca="false">IF(F474="Cancelled",1,0)</f>
        <v>0</v>
      </c>
      <c r="R474" s="3" t="n">
        <f aca="false">IF(K474="Yes",1,0)</f>
        <v>1</v>
      </c>
    </row>
    <row r="475" customFormat="false" ht="15" hidden="false" customHeight="false" outlineLevel="0" collapsed="false">
      <c r="A475" s="0" t="s">
        <v>1018</v>
      </c>
      <c r="B475" s="0" t="s">
        <v>36</v>
      </c>
      <c r="C475" s="2" t="s">
        <v>467</v>
      </c>
      <c r="D475" s="2" t="s">
        <v>1019</v>
      </c>
      <c r="E475" s="3" t="s">
        <v>39</v>
      </c>
      <c r="F475" s="3" t="s">
        <v>29</v>
      </c>
      <c r="G475" s="0" t="n">
        <v>1042</v>
      </c>
      <c r="H475" s="4" t="n">
        <v>12.48</v>
      </c>
      <c r="I475" s="4" t="n">
        <v>12.3</v>
      </c>
      <c r="J475" s="0" t="n">
        <v>88</v>
      </c>
      <c r="K475" s="3" t="s">
        <v>24</v>
      </c>
      <c r="L475" s="3" t="n">
        <f aca="false">IF(D475="","",IF(D475-C475&lt;0,"",D475-C475))</f>
        <v>16</v>
      </c>
      <c r="M475" s="4" t="n">
        <f aca="false">G475*I475</f>
        <v>12816.6</v>
      </c>
      <c r="N475" s="5" t="n">
        <f aca="false">IF(J475="","",J475/G475*100)</f>
        <v>8.44529750479846</v>
      </c>
      <c r="O475" s="5" t="n">
        <f aca="false">(H475-I475)/H475*100</f>
        <v>1.44230769230769</v>
      </c>
      <c r="P475" s="3" t="n">
        <f aca="false">IF(OR(F475="Delivered",F475="Partially Delivered"),1,0)</f>
        <v>1</v>
      </c>
      <c r="Q475" s="3" t="n">
        <f aca="false">IF(F475="Cancelled",1,0)</f>
        <v>0</v>
      </c>
      <c r="R475" s="3" t="n">
        <f aca="false">IF(K475="Yes",1,0)</f>
        <v>1</v>
      </c>
    </row>
    <row r="476" customFormat="false" ht="15" hidden="false" customHeight="false" outlineLevel="0" collapsed="false">
      <c r="A476" s="0" t="s">
        <v>1020</v>
      </c>
      <c r="B476" s="0" t="s">
        <v>26</v>
      </c>
      <c r="C476" s="2" t="s">
        <v>1021</v>
      </c>
      <c r="D476" s="2" t="s">
        <v>296</v>
      </c>
      <c r="E476" s="3" t="s">
        <v>43</v>
      </c>
      <c r="F476" s="3" t="s">
        <v>29</v>
      </c>
      <c r="G476" s="0" t="n">
        <v>1189</v>
      </c>
      <c r="H476" s="4" t="n">
        <v>19.47</v>
      </c>
      <c r="I476" s="4" t="n">
        <v>17.15</v>
      </c>
      <c r="K476" s="3" t="s">
        <v>44</v>
      </c>
      <c r="L476" s="3" t="n">
        <f aca="false">IF(D476="","",IF(D476-C476&lt;0,"",D476-C476))</f>
        <v>18</v>
      </c>
      <c r="M476" s="4" t="n">
        <f aca="false">G476*I476</f>
        <v>20391.35</v>
      </c>
      <c r="N476" s="5" t="str">
        <f aca="false">IF(J476="","",J476/G476*100)</f>
        <v/>
      </c>
      <c r="O476" s="5" t="n">
        <f aca="false">(H476-I476)/H476*100</f>
        <v>11.9157678479712</v>
      </c>
      <c r="P476" s="3" t="n">
        <f aca="false">IF(OR(F476="Delivered",F476="Partially Delivered"),1,0)</f>
        <v>1</v>
      </c>
      <c r="Q476" s="3" t="n">
        <f aca="false">IF(F476="Cancelled",1,0)</f>
        <v>0</v>
      </c>
      <c r="R476" s="3" t="n">
        <f aca="false">IF(K476="Yes",1,0)</f>
        <v>0</v>
      </c>
    </row>
    <row r="477" customFormat="false" ht="15" hidden="false" customHeight="false" outlineLevel="0" collapsed="false">
      <c r="A477" s="0" t="s">
        <v>1022</v>
      </c>
      <c r="B477" s="0" t="s">
        <v>46</v>
      </c>
      <c r="C477" s="2" t="s">
        <v>229</v>
      </c>
      <c r="D477" s="2"/>
      <c r="E477" s="3" t="s">
        <v>22</v>
      </c>
      <c r="F477" s="3" t="s">
        <v>29</v>
      </c>
      <c r="G477" s="0" t="n">
        <v>240</v>
      </c>
      <c r="H477" s="4" t="n">
        <v>88.14</v>
      </c>
      <c r="I477" s="4" t="n">
        <v>81.9</v>
      </c>
      <c r="J477" s="0" t="n">
        <v>4</v>
      </c>
      <c r="K477" s="3" t="s">
        <v>24</v>
      </c>
      <c r="L477" s="0" t="str">
        <f aca="false">IF(D477="","",IF(D477-C477&lt;0,"",D477-C477))</f>
        <v/>
      </c>
      <c r="M477" s="4" t="n">
        <f aca="false">G477*I477</f>
        <v>19656</v>
      </c>
      <c r="N477" s="5" t="n">
        <f aca="false">IF(J477="","",J477/G477*100)</f>
        <v>1.66666666666667</v>
      </c>
      <c r="O477" s="5" t="n">
        <f aca="false">(H477-I477)/H477*100</f>
        <v>7.07964601769911</v>
      </c>
      <c r="P477" s="3" t="n">
        <f aca="false">IF(OR(F477="Delivered",F477="Partially Delivered"),1,0)</f>
        <v>1</v>
      </c>
      <c r="Q477" s="3" t="n">
        <f aca="false">IF(F477="Cancelled",1,0)</f>
        <v>0</v>
      </c>
      <c r="R477" s="3" t="n">
        <f aca="false">IF(K477="Yes",1,0)</f>
        <v>1</v>
      </c>
    </row>
    <row r="478" customFormat="false" ht="15" hidden="false" customHeight="false" outlineLevel="0" collapsed="false">
      <c r="A478" s="0" t="s">
        <v>1023</v>
      </c>
      <c r="B478" s="0" t="s">
        <v>46</v>
      </c>
      <c r="C478" s="2" t="s">
        <v>1024</v>
      </c>
      <c r="D478" s="2" t="s">
        <v>823</v>
      </c>
      <c r="E478" s="3" t="s">
        <v>34</v>
      </c>
      <c r="F478" s="3" t="s">
        <v>29</v>
      </c>
      <c r="G478" s="0" t="n">
        <v>302</v>
      </c>
      <c r="H478" s="4" t="n">
        <v>26.98</v>
      </c>
      <c r="I478" s="4" t="n">
        <v>26.47</v>
      </c>
      <c r="J478" s="0" t="n">
        <v>9</v>
      </c>
      <c r="K478" s="3" t="s">
        <v>24</v>
      </c>
      <c r="L478" s="3" t="n">
        <f aca="false">IF(D478="","",IF(D478-C478&lt;0,"",D478-C478))</f>
        <v>17</v>
      </c>
      <c r="M478" s="4" t="n">
        <f aca="false">G478*I478</f>
        <v>7993.94</v>
      </c>
      <c r="N478" s="5" t="n">
        <f aca="false">IF(J478="","",J478/G478*100)</f>
        <v>2.98013245033113</v>
      </c>
      <c r="O478" s="5" t="n">
        <f aca="false">(H478-I478)/H478*100</f>
        <v>1.89028910303929</v>
      </c>
      <c r="P478" s="3" t="n">
        <f aca="false">IF(OR(F478="Delivered",F478="Partially Delivered"),1,0)</f>
        <v>1</v>
      </c>
      <c r="Q478" s="3" t="n">
        <f aca="false">IF(F478="Cancelled",1,0)</f>
        <v>0</v>
      </c>
      <c r="R478" s="3" t="n">
        <f aca="false">IF(K478="Yes",1,0)</f>
        <v>1</v>
      </c>
    </row>
    <row r="479" customFormat="false" ht="15" hidden="false" customHeight="false" outlineLevel="0" collapsed="false">
      <c r="A479" s="0" t="s">
        <v>1025</v>
      </c>
      <c r="B479" s="0" t="s">
        <v>36</v>
      </c>
      <c r="C479" s="2" t="s">
        <v>1026</v>
      </c>
      <c r="D479" s="2" t="s">
        <v>243</v>
      </c>
      <c r="E479" s="3" t="s">
        <v>34</v>
      </c>
      <c r="F479" s="3" t="s">
        <v>62</v>
      </c>
      <c r="G479" s="0" t="n">
        <v>1030</v>
      </c>
      <c r="H479" s="4" t="n">
        <v>70.81</v>
      </c>
      <c r="I479" s="4" t="n">
        <v>61.58</v>
      </c>
      <c r="K479" s="3" t="s">
        <v>44</v>
      </c>
      <c r="L479" s="3" t="n">
        <f aca="false">IF(D479="","",IF(D479-C479&lt;0,"",D479-C479))</f>
        <v>10</v>
      </c>
      <c r="M479" s="4" t="n">
        <f aca="false">G479*I479</f>
        <v>63427.4</v>
      </c>
      <c r="N479" s="5" t="str">
        <f aca="false">IF(J479="","",J479/G479*100)</f>
        <v/>
      </c>
      <c r="O479" s="5" t="n">
        <f aca="false">(H479-I479)/H479*100</f>
        <v>13.0348820788024</v>
      </c>
      <c r="P479" s="3" t="n">
        <f aca="false">IF(OR(F479="Delivered",F479="Partially Delivered"),1,0)</f>
        <v>0</v>
      </c>
      <c r="Q479" s="3" t="n">
        <f aca="false">IF(F479="Cancelled",1,0)</f>
        <v>0</v>
      </c>
      <c r="R479" s="3" t="n">
        <f aca="false">IF(K479="Yes",1,0)</f>
        <v>0</v>
      </c>
    </row>
    <row r="480" customFormat="false" ht="15" hidden="false" customHeight="false" outlineLevel="0" collapsed="false">
      <c r="A480" s="0" t="s">
        <v>1027</v>
      </c>
      <c r="B480" s="0" t="s">
        <v>26</v>
      </c>
      <c r="C480" s="2" t="s">
        <v>1028</v>
      </c>
      <c r="D480" s="2" t="s">
        <v>1029</v>
      </c>
      <c r="E480" s="3" t="s">
        <v>22</v>
      </c>
      <c r="F480" s="3" t="s">
        <v>29</v>
      </c>
      <c r="G480" s="0" t="n">
        <v>977</v>
      </c>
      <c r="H480" s="4" t="n">
        <v>33.79</v>
      </c>
      <c r="I480" s="4" t="n">
        <v>32.25</v>
      </c>
      <c r="J480" s="0" t="n">
        <v>137</v>
      </c>
      <c r="K480" s="3" t="s">
        <v>24</v>
      </c>
      <c r="L480" s="3" t="n">
        <f aca="false">IF(D480="","",IF(D480-C480&lt;0,"",D480-C480))</f>
        <v>6</v>
      </c>
      <c r="M480" s="4" t="n">
        <f aca="false">G480*I480</f>
        <v>31508.25</v>
      </c>
      <c r="N480" s="5" t="n">
        <f aca="false">IF(J480="","",J480/G480*100)</f>
        <v>14.0225179119754</v>
      </c>
      <c r="O480" s="5" t="n">
        <f aca="false">(H480-I480)/H480*100</f>
        <v>4.5575614087008</v>
      </c>
      <c r="P480" s="3" t="n">
        <f aca="false">IF(OR(F480="Delivered",F480="Partially Delivered"),1,0)</f>
        <v>1</v>
      </c>
      <c r="Q480" s="3" t="n">
        <f aca="false">IF(F480="Cancelled",1,0)</f>
        <v>0</v>
      </c>
      <c r="R480" s="3" t="n">
        <f aca="false">IF(K480="Yes",1,0)</f>
        <v>1</v>
      </c>
    </row>
    <row r="481" customFormat="false" ht="15" hidden="false" customHeight="false" outlineLevel="0" collapsed="false">
      <c r="A481" s="0" t="s">
        <v>1030</v>
      </c>
      <c r="B481" s="0" t="s">
        <v>19</v>
      </c>
      <c r="C481" s="2" t="s">
        <v>1031</v>
      </c>
      <c r="D481" s="2" t="s">
        <v>1032</v>
      </c>
      <c r="E481" s="3" t="s">
        <v>39</v>
      </c>
      <c r="F481" s="3" t="s">
        <v>29</v>
      </c>
      <c r="G481" s="0" t="n">
        <v>1234</v>
      </c>
      <c r="H481" s="4" t="n">
        <v>19.99</v>
      </c>
      <c r="I481" s="4" t="n">
        <v>17.66</v>
      </c>
      <c r="J481" s="0" t="n">
        <v>25</v>
      </c>
      <c r="K481" s="3" t="s">
        <v>24</v>
      </c>
      <c r="L481" s="3" t="n">
        <f aca="false">IF(D481="","",IF(D481-C481&lt;0,"",D481-C481))</f>
        <v>17</v>
      </c>
      <c r="M481" s="4" t="n">
        <f aca="false">G481*I481</f>
        <v>21792.44</v>
      </c>
      <c r="N481" s="5" t="n">
        <f aca="false">IF(J481="","",J481/G481*100)</f>
        <v>2.0259319286872</v>
      </c>
      <c r="O481" s="5" t="n">
        <f aca="false">(H481-I481)/H481*100</f>
        <v>11.655827913957</v>
      </c>
      <c r="P481" s="3" t="n">
        <f aca="false">IF(OR(F481="Delivered",F481="Partially Delivered"),1,0)</f>
        <v>1</v>
      </c>
      <c r="Q481" s="3" t="n">
        <f aca="false">IF(F481="Cancelled",1,0)</f>
        <v>0</v>
      </c>
      <c r="R481" s="3" t="n">
        <f aca="false">IF(K481="Yes",1,0)</f>
        <v>1</v>
      </c>
    </row>
    <row r="482" customFormat="false" ht="15" hidden="false" customHeight="false" outlineLevel="0" collapsed="false">
      <c r="A482" s="0" t="s">
        <v>1033</v>
      </c>
      <c r="B482" s="0" t="s">
        <v>36</v>
      </c>
      <c r="C482" s="2" t="s">
        <v>1034</v>
      </c>
      <c r="D482" s="2" t="s">
        <v>1035</v>
      </c>
      <c r="E482" s="3" t="s">
        <v>22</v>
      </c>
      <c r="F482" s="3" t="s">
        <v>29</v>
      </c>
      <c r="G482" s="0" t="n">
        <v>1329</v>
      </c>
      <c r="H482" s="4" t="n">
        <v>33.48</v>
      </c>
      <c r="I482" s="4" t="n">
        <v>33.06</v>
      </c>
      <c r="J482" s="0" t="n">
        <v>146</v>
      </c>
      <c r="K482" s="3" t="s">
        <v>24</v>
      </c>
      <c r="L482" s="3" t="n">
        <f aca="false">IF(D482="","",IF(D482-C482&lt;0,"",D482-C482))</f>
        <v>14</v>
      </c>
      <c r="M482" s="4" t="n">
        <f aca="false">G482*I482</f>
        <v>43936.74</v>
      </c>
      <c r="N482" s="5" t="n">
        <f aca="false">IF(J482="","",J482/G482*100)</f>
        <v>10.9857035364936</v>
      </c>
      <c r="O482" s="5" t="n">
        <f aca="false">(H482-I482)/H482*100</f>
        <v>1.25448028673834</v>
      </c>
      <c r="P482" s="3" t="n">
        <f aca="false">IF(OR(F482="Delivered",F482="Partially Delivered"),1,0)</f>
        <v>1</v>
      </c>
      <c r="Q482" s="3" t="n">
        <f aca="false">IF(F482="Cancelled",1,0)</f>
        <v>0</v>
      </c>
      <c r="R482" s="3" t="n">
        <f aca="false">IF(K482="Yes",1,0)</f>
        <v>1</v>
      </c>
    </row>
    <row r="483" customFormat="false" ht="15" hidden="false" customHeight="false" outlineLevel="0" collapsed="false">
      <c r="A483" s="0" t="s">
        <v>1036</v>
      </c>
      <c r="B483" s="0" t="s">
        <v>31</v>
      </c>
      <c r="C483" s="2" t="s">
        <v>213</v>
      </c>
      <c r="D483" s="2" t="s">
        <v>1037</v>
      </c>
      <c r="E483" s="3" t="s">
        <v>43</v>
      </c>
      <c r="F483" s="3" t="s">
        <v>29</v>
      </c>
      <c r="G483" s="0" t="n">
        <v>1396</v>
      </c>
      <c r="H483" s="4" t="n">
        <v>77.63</v>
      </c>
      <c r="I483" s="4" t="n">
        <v>67.81</v>
      </c>
      <c r="J483" s="0" t="n">
        <v>58</v>
      </c>
      <c r="K483" s="3" t="s">
        <v>24</v>
      </c>
      <c r="L483" s="3" t="n">
        <f aca="false">IF(D483="","",IF(D483-C483&lt;0,"",D483-C483))</f>
        <v>8</v>
      </c>
      <c r="M483" s="4" t="n">
        <f aca="false">G483*I483</f>
        <v>94662.76</v>
      </c>
      <c r="N483" s="5" t="n">
        <f aca="false">IF(J483="","",J483/G483*100)</f>
        <v>4.15472779369628</v>
      </c>
      <c r="O483" s="5" t="n">
        <f aca="false">(H483-I483)/H483*100</f>
        <v>12.6497488084503</v>
      </c>
      <c r="P483" s="3" t="n">
        <f aca="false">IF(OR(F483="Delivered",F483="Partially Delivered"),1,0)</f>
        <v>1</v>
      </c>
      <c r="Q483" s="3" t="n">
        <f aca="false">IF(F483="Cancelled",1,0)</f>
        <v>0</v>
      </c>
      <c r="R483" s="3" t="n">
        <f aca="false">IF(K483="Yes",1,0)</f>
        <v>1</v>
      </c>
    </row>
    <row r="484" customFormat="false" ht="15" hidden="false" customHeight="false" outlineLevel="0" collapsed="false">
      <c r="A484" s="0" t="s">
        <v>1038</v>
      </c>
      <c r="B484" s="0" t="s">
        <v>19</v>
      </c>
      <c r="C484" s="2" t="s">
        <v>47</v>
      </c>
      <c r="D484" s="2" t="s">
        <v>48</v>
      </c>
      <c r="E484" s="3" t="s">
        <v>43</v>
      </c>
      <c r="F484" s="3" t="s">
        <v>29</v>
      </c>
      <c r="G484" s="0" t="n">
        <v>177</v>
      </c>
      <c r="H484" s="4" t="n">
        <v>90.06</v>
      </c>
      <c r="I484" s="4" t="n">
        <v>87.71</v>
      </c>
      <c r="J484" s="0" t="n">
        <v>7</v>
      </c>
      <c r="K484" s="3" t="s">
        <v>24</v>
      </c>
      <c r="L484" s="3" t="n">
        <f aca="false">IF(D484="","",IF(D484-C484&lt;0,"",D484-C484))</f>
        <v>12</v>
      </c>
      <c r="M484" s="4" t="n">
        <f aca="false">G484*I484</f>
        <v>15524.67</v>
      </c>
      <c r="N484" s="5" t="n">
        <f aca="false">IF(J484="","",J484/G484*100)</f>
        <v>3.95480225988701</v>
      </c>
      <c r="O484" s="5" t="n">
        <f aca="false">(H484-I484)/H484*100</f>
        <v>2.60937153009106</v>
      </c>
      <c r="P484" s="3" t="n">
        <f aca="false">IF(OR(F484="Delivered",F484="Partially Delivered"),1,0)</f>
        <v>1</v>
      </c>
      <c r="Q484" s="3" t="n">
        <f aca="false">IF(F484="Cancelled",1,0)</f>
        <v>0</v>
      </c>
      <c r="R484" s="3" t="n">
        <f aca="false">IF(K484="Yes",1,0)</f>
        <v>1</v>
      </c>
    </row>
    <row r="485" customFormat="false" ht="15" hidden="false" customHeight="false" outlineLevel="0" collapsed="false">
      <c r="A485" s="0" t="s">
        <v>1039</v>
      </c>
      <c r="B485" s="0" t="s">
        <v>26</v>
      </c>
      <c r="C485" s="2" t="s">
        <v>1040</v>
      </c>
      <c r="D485" s="2"/>
      <c r="E485" s="3" t="s">
        <v>71</v>
      </c>
      <c r="F485" s="3" t="s">
        <v>29</v>
      </c>
      <c r="G485" s="0" t="n">
        <v>67</v>
      </c>
      <c r="H485" s="4" t="n">
        <v>84.72</v>
      </c>
      <c r="I485" s="4" t="n">
        <v>73.06</v>
      </c>
      <c r="J485" s="0" t="n">
        <v>9</v>
      </c>
      <c r="K485" s="3" t="s">
        <v>24</v>
      </c>
      <c r="L485" s="0" t="str">
        <f aca="false">IF(D485="","",IF(D485-C485&lt;0,"",D485-C485))</f>
        <v/>
      </c>
      <c r="M485" s="4" t="n">
        <f aca="false">G485*I485</f>
        <v>4895.02</v>
      </c>
      <c r="N485" s="5" t="n">
        <f aca="false">IF(J485="","",J485/G485*100)</f>
        <v>13.4328358208955</v>
      </c>
      <c r="O485" s="5" t="n">
        <f aca="false">(H485-I485)/H485*100</f>
        <v>13.7629839471199</v>
      </c>
      <c r="P485" s="3" t="n">
        <f aca="false">IF(OR(F485="Delivered",F485="Partially Delivered"),1,0)</f>
        <v>1</v>
      </c>
      <c r="Q485" s="3" t="n">
        <f aca="false">IF(F485="Cancelled",1,0)</f>
        <v>0</v>
      </c>
      <c r="R485" s="3" t="n">
        <f aca="false">IF(K485="Yes",1,0)</f>
        <v>1</v>
      </c>
    </row>
    <row r="486" customFormat="false" ht="15" hidden="false" customHeight="false" outlineLevel="0" collapsed="false">
      <c r="A486" s="0" t="s">
        <v>1041</v>
      </c>
      <c r="B486" s="0" t="s">
        <v>31</v>
      </c>
      <c r="C486" s="2" t="s">
        <v>424</v>
      </c>
      <c r="D486" s="2" t="s">
        <v>882</v>
      </c>
      <c r="E486" s="3" t="s">
        <v>22</v>
      </c>
      <c r="F486" s="3" t="s">
        <v>29</v>
      </c>
      <c r="G486" s="0" t="n">
        <v>1866</v>
      </c>
      <c r="H486" s="4" t="n">
        <v>50.78</v>
      </c>
      <c r="I486" s="4" t="n">
        <v>48.2</v>
      </c>
      <c r="J486" s="0" t="n">
        <v>96</v>
      </c>
      <c r="K486" s="3" t="s">
        <v>24</v>
      </c>
      <c r="L486" s="3" t="n">
        <f aca="false">IF(D486="","",IF(D486-C486&lt;0,"",D486-C486))</f>
        <v>13</v>
      </c>
      <c r="M486" s="4" t="n">
        <f aca="false">G486*I486</f>
        <v>89941.2</v>
      </c>
      <c r="N486" s="5" t="n">
        <f aca="false">IF(J486="","",J486/G486*100)</f>
        <v>5.14469453376206</v>
      </c>
      <c r="O486" s="5" t="n">
        <f aca="false">(H486-I486)/H486*100</f>
        <v>5.08074044899566</v>
      </c>
      <c r="P486" s="3" t="n">
        <f aca="false">IF(OR(F486="Delivered",F486="Partially Delivered"),1,0)</f>
        <v>1</v>
      </c>
      <c r="Q486" s="3" t="n">
        <f aca="false">IF(F486="Cancelled",1,0)</f>
        <v>0</v>
      </c>
      <c r="R486" s="3" t="n">
        <f aca="false">IF(K486="Yes",1,0)</f>
        <v>1</v>
      </c>
    </row>
    <row r="487" customFormat="false" ht="15" hidden="false" customHeight="false" outlineLevel="0" collapsed="false">
      <c r="A487" s="0" t="s">
        <v>1042</v>
      </c>
      <c r="B487" s="0" t="s">
        <v>46</v>
      </c>
      <c r="C487" s="2" t="s">
        <v>1043</v>
      </c>
      <c r="D487" s="2" t="s">
        <v>544</v>
      </c>
      <c r="E487" s="3" t="s">
        <v>34</v>
      </c>
      <c r="F487" s="3" t="s">
        <v>29</v>
      </c>
      <c r="G487" s="0" t="n">
        <v>1808</v>
      </c>
      <c r="H487" s="4" t="n">
        <v>72.23</v>
      </c>
      <c r="I487" s="4" t="n">
        <v>67.86</v>
      </c>
      <c r="J487" s="0" t="n">
        <v>53</v>
      </c>
      <c r="K487" s="3" t="s">
        <v>24</v>
      </c>
      <c r="L487" s="3" t="n">
        <f aca="false">IF(D487="","",IF(D487-C487&lt;0,"",D487-C487))</f>
        <v>8</v>
      </c>
      <c r="M487" s="4" t="n">
        <f aca="false">G487*I487</f>
        <v>122690.88</v>
      </c>
      <c r="N487" s="5" t="n">
        <f aca="false">IF(J487="","",J487/G487*100)</f>
        <v>2.93141592920354</v>
      </c>
      <c r="O487" s="5" t="n">
        <f aca="false">(H487-I487)/H487*100</f>
        <v>6.05011767963451</v>
      </c>
      <c r="P487" s="3" t="n">
        <f aca="false">IF(OR(F487="Delivered",F487="Partially Delivered"),1,0)</f>
        <v>1</v>
      </c>
      <c r="Q487" s="3" t="n">
        <f aca="false">IF(F487="Cancelled",1,0)</f>
        <v>0</v>
      </c>
      <c r="R487" s="3" t="n">
        <f aca="false">IF(K487="Yes",1,0)</f>
        <v>1</v>
      </c>
    </row>
    <row r="488" customFormat="false" ht="15" hidden="false" customHeight="false" outlineLevel="0" collapsed="false">
      <c r="A488" s="0" t="s">
        <v>1044</v>
      </c>
      <c r="B488" s="0" t="s">
        <v>26</v>
      </c>
      <c r="C488" s="2" t="s">
        <v>359</v>
      </c>
      <c r="D488" s="2" t="s">
        <v>1045</v>
      </c>
      <c r="E488" s="3" t="s">
        <v>71</v>
      </c>
      <c r="F488" s="3" t="s">
        <v>23</v>
      </c>
      <c r="G488" s="0" t="n">
        <v>615</v>
      </c>
      <c r="H488" s="4" t="n">
        <v>30.3</v>
      </c>
      <c r="I488" s="4" t="n">
        <v>29.52</v>
      </c>
      <c r="J488" s="0" t="n">
        <v>96</v>
      </c>
      <c r="K488" s="3" t="s">
        <v>24</v>
      </c>
      <c r="L488" s="3" t="n">
        <f aca="false">IF(D488="","",IF(D488-C488&lt;0,"",D488-C488))</f>
        <v>3</v>
      </c>
      <c r="M488" s="4" t="n">
        <f aca="false">G488*I488</f>
        <v>18154.8</v>
      </c>
      <c r="N488" s="5" t="n">
        <f aca="false">IF(J488="","",J488/G488*100)</f>
        <v>15.609756097561</v>
      </c>
      <c r="O488" s="5" t="n">
        <f aca="false">(H488-I488)/H488*100</f>
        <v>2.57425742574258</v>
      </c>
      <c r="P488" s="3" t="n">
        <f aca="false">IF(OR(F488="Delivered",F488="Partially Delivered"),1,0)</f>
        <v>0</v>
      </c>
      <c r="Q488" s="3" t="n">
        <f aca="false">IF(F488="Cancelled",1,0)</f>
        <v>1</v>
      </c>
      <c r="R488" s="3" t="n">
        <f aca="false">IF(K488="Yes",1,0)</f>
        <v>1</v>
      </c>
    </row>
    <row r="489" customFormat="false" ht="15" hidden="false" customHeight="false" outlineLevel="0" collapsed="false">
      <c r="A489" s="0" t="s">
        <v>1046</v>
      </c>
      <c r="B489" s="0" t="s">
        <v>31</v>
      </c>
      <c r="C489" s="2" t="s">
        <v>765</v>
      </c>
      <c r="D489" s="2" t="s">
        <v>1047</v>
      </c>
      <c r="E489" s="3" t="s">
        <v>22</v>
      </c>
      <c r="F489" s="3" t="s">
        <v>62</v>
      </c>
      <c r="G489" s="0" t="n">
        <v>619</v>
      </c>
      <c r="H489" s="4" t="n">
        <v>38.38</v>
      </c>
      <c r="I489" s="4" t="n">
        <v>35.02</v>
      </c>
      <c r="J489" s="0" t="n">
        <v>34</v>
      </c>
      <c r="K489" s="3" t="s">
        <v>24</v>
      </c>
      <c r="L489" s="3" t="n">
        <f aca="false">IF(D489="","",IF(D489-C489&lt;0,"",D489-C489))</f>
        <v>1</v>
      </c>
      <c r="M489" s="4" t="n">
        <f aca="false">G489*I489</f>
        <v>21677.38</v>
      </c>
      <c r="N489" s="5" t="n">
        <f aca="false">IF(J489="","",J489/G489*100)</f>
        <v>5.49273021001616</v>
      </c>
      <c r="O489" s="5" t="n">
        <f aca="false">(H489-I489)/H489*100</f>
        <v>8.75455966649296</v>
      </c>
      <c r="P489" s="3" t="n">
        <f aca="false">IF(OR(F489="Delivered",F489="Partially Delivered"),1,0)</f>
        <v>0</v>
      </c>
      <c r="Q489" s="3" t="n">
        <f aca="false">IF(F489="Cancelled",1,0)</f>
        <v>0</v>
      </c>
      <c r="R489" s="3" t="n">
        <f aca="false">IF(K489="Yes",1,0)</f>
        <v>1</v>
      </c>
    </row>
    <row r="490" customFormat="false" ht="15" hidden="false" customHeight="false" outlineLevel="0" collapsed="false">
      <c r="A490" s="0" t="s">
        <v>1048</v>
      </c>
      <c r="B490" s="0" t="s">
        <v>26</v>
      </c>
      <c r="C490" s="2" t="s">
        <v>337</v>
      </c>
      <c r="D490" s="2" t="s">
        <v>1049</v>
      </c>
      <c r="E490" s="3" t="s">
        <v>22</v>
      </c>
      <c r="F490" s="3" t="s">
        <v>29</v>
      </c>
      <c r="G490" s="0" t="n">
        <v>1396</v>
      </c>
      <c r="H490" s="4" t="n">
        <v>94.75</v>
      </c>
      <c r="I490" s="4" t="n">
        <v>84.06</v>
      </c>
      <c r="J490" s="0" t="n">
        <v>210</v>
      </c>
      <c r="K490" s="3" t="s">
        <v>24</v>
      </c>
      <c r="L490" s="3" t="n">
        <f aca="false">IF(D490="","",IF(D490-C490&lt;0,"",D490-C490))</f>
        <v>4</v>
      </c>
      <c r="M490" s="4" t="n">
        <f aca="false">G490*I490</f>
        <v>117347.76</v>
      </c>
      <c r="N490" s="5" t="n">
        <f aca="false">IF(J490="","",J490/G490*100)</f>
        <v>15.0429799426934</v>
      </c>
      <c r="O490" s="5" t="n">
        <f aca="false">(H490-I490)/H490*100</f>
        <v>11.2823218997361</v>
      </c>
      <c r="P490" s="3" t="n">
        <f aca="false">IF(OR(F490="Delivered",F490="Partially Delivered"),1,0)</f>
        <v>1</v>
      </c>
      <c r="Q490" s="3" t="n">
        <f aca="false">IF(F490="Cancelled",1,0)</f>
        <v>0</v>
      </c>
      <c r="R490" s="3" t="n">
        <f aca="false">IF(K490="Yes",1,0)</f>
        <v>1</v>
      </c>
    </row>
    <row r="491" customFormat="false" ht="15" hidden="false" customHeight="false" outlineLevel="0" collapsed="false">
      <c r="A491" s="0" t="s">
        <v>1050</v>
      </c>
      <c r="B491" s="0" t="s">
        <v>31</v>
      </c>
      <c r="C491" s="2" t="s">
        <v>204</v>
      </c>
      <c r="D491" s="2" t="s">
        <v>780</v>
      </c>
      <c r="E491" s="3" t="s">
        <v>34</v>
      </c>
      <c r="F491" s="3" t="s">
        <v>29</v>
      </c>
      <c r="G491" s="0" t="n">
        <v>1945</v>
      </c>
      <c r="H491" s="4" t="n">
        <v>11.28</v>
      </c>
      <c r="I491" s="4" t="n">
        <v>9.98</v>
      </c>
      <c r="J491" s="0" t="n">
        <v>94</v>
      </c>
      <c r="K491" s="3" t="s">
        <v>24</v>
      </c>
      <c r="L491" s="3" t="n">
        <f aca="false">IF(D491="","",IF(D491-C491&lt;0,"",D491-C491))</f>
        <v>11</v>
      </c>
      <c r="M491" s="4" t="n">
        <f aca="false">G491*I491</f>
        <v>19411.1</v>
      </c>
      <c r="N491" s="5" t="n">
        <f aca="false">IF(J491="","",J491/G491*100)</f>
        <v>4.83290488431877</v>
      </c>
      <c r="O491" s="5" t="n">
        <f aca="false">(H491-I491)/H491*100</f>
        <v>11.5248226950355</v>
      </c>
      <c r="P491" s="3" t="n">
        <f aca="false">IF(OR(F491="Delivered",F491="Partially Delivered"),1,0)</f>
        <v>1</v>
      </c>
      <c r="Q491" s="3" t="n">
        <f aca="false">IF(F491="Cancelled",1,0)</f>
        <v>0</v>
      </c>
      <c r="R491" s="3" t="n">
        <f aca="false">IF(K491="Yes",1,0)</f>
        <v>1</v>
      </c>
    </row>
    <row r="492" customFormat="false" ht="15" hidden="false" customHeight="false" outlineLevel="0" collapsed="false">
      <c r="A492" s="0" t="s">
        <v>1051</v>
      </c>
      <c r="B492" s="0" t="s">
        <v>26</v>
      </c>
      <c r="C492" s="2" t="s">
        <v>337</v>
      </c>
      <c r="D492" s="2" t="s">
        <v>1013</v>
      </c>
      <c r="E492" s="3" t="s">
        <v>39</v>
      </c>
      <c r="F492" s="3" t="s">
        <v>29</v>
      </c>
      <c r="G492" s="0" t="n">
        <v>735</v>
      </c>
      <c r="H492" s="4" t="n">
        <v>18.49</v>
      </c>
      <c r="I492" s="4" t="n">
        <v>15.89</v>
      </c>
      <c r="J492" s="0" t="n">
        <v>113</v>
      </c>
      <c r="K492" s="3" t="s">
        <v>44</v>
      </c>
      <c r="L492" s="3" t="n">
        <f aca="false">IF(D492="","",IF(D492-C492&lt;0,"",D492-C492))</f>
        <v>5</v>
      </c>
      <c r="M492" s="4" t="n">
        <f aca="false">G492*I492</f>
        <v>11679.15</v>
      </c>
      <c r="N492" s="5" t="n">
        <f aca="false">IF(J492="","",J492/G492*100)</f>
        <v>15.3741496598639</v>
      </c>
      <c r="O492" s="5" t="n">
        <f aca="false">(H492-I492)/H492*100</f>
        <v>14.0616549486209</v>
      </c>
      <c r="P492" s="3" t="n">
        <f aca="false">IF(OR(F492="Delivered",F492="Partially Delivered"),1,0)</f>
        <v>1</v>
      </c>
      <c r="Q492" s="3" t="n">
        <f aca="false">IF(F492="Cancelled",1,0)</f>
        <v>0</v>
      </c>
      <c r="R492" s="3" t="n">
        <f aca="false">IF(K492="Yes",1,0)</f>
        <v>0</v>
      </c>
    </row>
    <row r="493" customFormat="false" ht="15" hidden="false" customHeight="false" outlineLevel="0" collapsed="false">
      <c r="A493" s="0" t="s">
        <v>1052</v>
      </c>
      <c r="B493" s="0" t="s">
        <v>46</v>
      </c>
      <c r="C493" s="2" t="s">
        <v>862</v>
      </c>
      <c r="D493" s="2" t="s">
        <v>1032</v>
      </c>
      <c r="E493" s="3" t="s">
        <v>22</v>
      </c>
      <c r="F493" s="3" t="s">
        <v>62</v>
      </c>
      <c r="G493" s="0" t="n">
        <v>1865</v>
      </c>
      <c r="H493" s="4" t="n">
        <v>30.29</v>
      </c>
      <c r="I493" s="4" t="n">
        <v>26.83</v>
      </c>
      <c r="J493" s="0" t="n">
        <v>56</v>
      </c>
      <c r="K493" s="3" t="s">
        <v>24</v>
      </c>
      <c r="L493" s="3" t="n">
        <f aca="false">IF(D493="","",IF(D493-C493&lt;0,"",D493-C493))</f>
        <v>16</v>
      </c>
      <c r="M493" s="4" t="n">
        <f aca="false">G493*I493</f>
        <v>50037.95</v>
      </c>
      <c r="N493" s="5" t="n">
        <f aca="false">IF(J493="","",J493/G493*100)</f>
        <v>3.00268096514745</v>
      </c>
      <c r="O493" s="5" t="n">
        <f aca="false">(H493-I493)/H493*100</f>
        <v>11.4229118520964</v>
      </c>
      <c r="P493" s="3" t="n">
        <f aca="false">IF(OR(F493="Delivered",F493="Partially Delivered"),1,0)</f>
        <v>0</v>
      </c>
      <c r="Q493" s="3" t="n">
        <f aca="false">IF(F493="Cancelled",1,0)</f>
        <v>0</v>
      </c>
      <c r="R493" s="3" t="n">
        <f aca="false">IF(K493="Yes",1,0)</f>
        <v>1</v>
      </c>
    </row>
    <row r="494" customFormat="false" ht="15" hidden="false" customHeight="false" outlineLevel="0" collapsed="false">
      <c r="A494" s="0" t="s">
        <v>1053</v>
      </c>
      <c r="B494" s="0" t="s">
        <v>36</v>
      </c>
      <c r="C494" s="2" t="s">
        <v>423</v>
      </c>
      <c r="D494" s="2" t="s">
        <v>666</v>
      </c>
      <c r="E494" s="3" t="s">
        <v>71</v>
      </c>
      <c r="F494" s="3" t="s">
        <v>23</v>
      </c>
      <c r="G494" s="0" t="n">
        <v>675</v>
      </c>
      <c r="H494" s="4" t="n">
        <v>13.69</v>
      </c>
      <c r="I494" s="4" t="n">
        <v>11.84</v>
      </c>
      <c r="J494" s="0" t="n">
        <v>52</v>
      </c>
      <c r="K494" s="3" t="s">
        <v>24</v>
      </c>
      <c r="L494" s="3" t="n">
        <f aca="false">IF(D494="","",IF(D494-C494&lt;0,"",D494-C494))</f>
        <v>5</v>
      </c>
      <c r="M494" s="4" t="n">
        <f aca="false">G494*I494</f>
        <v>7992</v>
      </c>
      <c r="N494" s="5" t="n">
        <f aca="false">IF(J494="","",J494/G494*100)</f>
        <v>7.7037037037037</v>
      </c>
      <c r="O494" s="5" t="n">
        <f aca="false">(H494-I494)/H494*100</f>
        <v>13.5135135135135</v>
      </c>
      <c r="P494" s="3" t="n">
        <f aca="false">IF(OR(F494="Delivered",F494="Partially Delivered"),1,0)</f>
        <v>0</v>
      </c>
      <c r="Q494" s="3" t="n">
        <f aca="false">IF(F494="Cancelled",1,0)</f>
        <v>1</v>
      </c>
      <c r="R494" s="3" t="n">
        <f aca="false">IF(K494="Yes",1,0)</f>
        <v>1</v>
      </c>
    </row>
    <row r="495" customFormat="false" ht="15" hidden="false" customHeight="false" outlineLevel="0" collapsed="false">
      <c r="A495" s="0" t="s">
        <v>1054</v>
      </c>
      <c r="B495" s="0" t="s">
        <v>31</v>
      </c>
      <c r="C495" s="2" t="s">
        <v>366</v>
      </c>
      <c r="D495" s="2" t="s">
        <v>367</v>
      </c>
      <c r="E495" s="3" t="s">
        <v>34</v>
      </c>
      <c r="F495" s="3" t="s">
        <v>62</v>
      </c>
      <c r="G495" s="0" t="n">
        <v>1361</v>
      </c>
      <c r="H495" s="4" t="n">
        <v>28.57</v>
      </c>
      <c r="I495" s="4" t="n">
        <v>24.29</v>
      </c>
      <c r="J495" s="0" t="n">
        <v>65</v>
      </c>
      <c r="K495" s="3" t="s">
        <v>24</v>
      </c>
      <c r="L495" s="3" t="n">
        <f aca="false">IF(D495="","",IF(D495-C495&lt;0,"",D495-C495))</f>
        <v>16</v>
      </c>
      <c r="M495" s="4" t="n">
        <f aca="false">G495*I495</f>
        <v>33058.69</v>
      </c>
      <c r="N495" s="5" t="n">
        <f aca="false">IF(J495="","",J495/G495*100)</f>
        <v>4.77590007347539</v>
      </c>
      <c r="O495" s="5" t="n">
        <f aca="false">(H495-I495)/H495*100</f>
        <v>14.9807490374519</v>
      </c>
      <c r="P495" s="3" t="n">
        <f aca="false">IF(OR(F495="Delivered",F495="Partially Delivered"),1,0)</f>
        <v>0</v>
      </c>
      <c r="Q495" s="3" t="n">
        <f aca="false">IF(F495="Cancelled",1,0)</f>
        <v>0</v>
      </c>
      <c r="R495" s="3" t="n">
        <f aca="false">IF(K495="Yes",1,0)</f>
        <v>1</v>
      </c>
    </row>
    <row r="496" customFormat="false" ht="15" hidden="false" customHeight="false" outlineLevel="0" collapsed="false">
      <c r="A496" s="0" t="s">
        <v>1055</v>
      </c>
      <c r="B496" s="0" t="s">
        <v>31</v>
      </c>
      <c r="C496" s="2" t="s">
        <v>360</v>
      </c>
      <c r="D496" s="2" t="s">
        <v>304</v>
      </c>
      <c r="E496" s="3" t="s">
        <v>43</v>
      </c>
      <c r="F496" s="3" t="s">
        <v>29</v>
      </c>
      <c r="G496" s="0" t="n">
        <v>903</v>
      </c>
      <c r="H496" s="4" t="n">
        <v>66.53</v>
      </c>
      <c r="I496" s="4" t="n">
        <v>60.15</v>
      </c>
      <c r="J496" s="0" t="n">
        <v>29</v>
      </c>
      <c r="K496" s="3" t="s">
        <v>24</v>
      </c>
      <c r="L496" s="3" t="n">
        <f aca="false">IF(D496="","",IF(D496-C496&lt;0,"",D496-C496))</f>
        <v>1</v>
      </c>
      <c r="M496" s="4" t="n">
        <f aca="false">G496*I496</f>
        <v>54315.45</v>
      </c>
      <c r="N496" s="5" t="n">
        <f aca="false">IF(J496="","",J496/G496*100)</f>
        <v>3.21151716500554</v>
      </c>
      <c r="O496" s="5" t="n">
        <f aca="false">(H496-I496)/H496*100</f>
        <v>9.58965880054111</v>
      </c>
      <c r="P496" s="3" t="n">
        <f aca="false">IF(OR(F496="Delivered",F496="Partially Delivered"),1,0)</f>
        <v>1</v>
      </c>
      <c r="Q496" s="3" t="n">
        <f aca="false">IF(F496="Cancelled",1,0)</f>
        <v>0</v>
      </c>
      <c r="R496" s="3" t="n">
        <f aca="false">IF(K496="Yes",1,0)</f>
        <v>1</v>
      </c>
    </row>
    <row r="497" customFormat="false" ht="15" hidden="false" customHeight="false" outlineLevel="0" collapsed="false">
      <c r="A497" s="0" t="s">
        <v>1056</v>
      </c>
      <c r="B497" s="0" t="s">
        <v>46</v>
      </c>
      <c r="C497" s="2" t="s">
        <v>1057</v>
      </c>
      <c r="D497" s="2"/>
      <c r="E497" s="3" t="s">
        <v>39</v>
      </c>
      <c r="F497" s="3" t="s">
        <v>23</v>
      </c>
      <c r="G497" s="0" t="n">
        <v>1736</v>
      </c>
      <c r="H497" s="4" t="n">
        <v>53.2</v>
      </c>
      <c r="I497" s="4" t="n">
        <v>50.68</v>
      </c>
      <c r="J497" s="0" t="n">
        <v>48</v>
      </c>
      <c r="K497" s="3" t="s">
        <v>24</v>
      </c>
      <c r="L497" s="0" t="str">
        <f aca="false">IF(D497="","",IF(D497-C497&lt;0,"",D497-C497))</f>
        <v/>
      </c>
      <c r="M497" s="4" t="n">
        <f aca="false">G497*I497</f>
        <v>87980.48</v>
      </c>
      <c r="N497" s="5" t="n">
        <f aca="false">IF(J497="","",J497/G497*100)</f>
        <v>2.76497695852535</v>
      </c>
      <c r="O497" s="5" t="n">
        <f aca="false">(H497-I497)/H497*100</f>
        <v>4.73684210526316</v>
      </c>
      <c r="P497" s="3" t="n">
        <f aca="false">IF(OR(F497="Delivered",F497="Partially Delivered"),1,0)</f>
        <v>0</v>
      </c>
      <c r="Q497" s="3" t="n">
        <f aca="false">IF(F497="Cancelled",1,0)</f>
        <v>1</v>
      </c>
      <c r="R497" s="3" t="n">
        <f aca="false">IF(K497="Yes",1,0)</f>
        <v>1</v>
      </c>
    </row>
    <row r="498" customFormat="false" ht="15" hidden="false" customHeight="false" outlineLevel="0" collapsed="false">
      <c r="A498" s="0" t="s">
        <v>1058</v>
      </c>
      <c r="B498" s="0" t="s">
        <v>36</v>
      </c>
      <c r="C498" s="2" t="s">
        <v>172</v>
      </c>
      <c r="D498" s="2" t="s">
        <v>873</v>
      </c>
      <c r="E498" s="3" t="s">
        <v>34</v>
      </c>
      <c r="F498" s="3" t="s">
        <v>29</v>
      </c>
      <c r="G498" s="0" t="n">
        <v>1011</v>
      </c>
      <c r="H498" s="4" t="n">
        <v>98.47</v>
      </c>
      <c r="I498" s="4" t="n">
        <v>97.06</v>
      </c>
      <c r="J498" s="0" t="n">
        <v>91</v>
      </c>
      <c r="K498" s="3" t="s">
        <v>24</v>
      </c>
      <c r="L498" s="3" t="n">
        <f aca="false">IF(D498="","",IF(D498-C498&lt;0,"",D498-C498))</f>
        <v>7</v>
      </c>
      <c r="M498" s="4" t="n">
        <f aca="false">G498*I498</f>
        <v>98127.66</v>
      </c>
      <c r="N498" s="5" t="n">
        <f aca="false">IF(J498="","",J498/G498*100)</f>
        <v>9.00098911968348</v>
      </c>
      <c r="O498" s="5" t="n">
        <f aca="false">(H498-I498)/H498*100</f>
        <v>1.43190819538946</v>
      </c>
      <c r="P498" s="3" t="n">
        <f aca="false">IF(OR(F498="Delivered",F498="Partially Delivered"),1,0)</f>
        <v>1</v>
      </c>
      <c r="Q498" s="3" t="n">
        <f aca="false">IF(F498="Cancelled",1,0)</f>
        <v>0</v>
      </c>
      <c r="R498" s="3" t="n">
        <f aca="false">IF(K498="Yes",1,0)</f>
        <v>1</v>
      </c>
    </row>
    <row r="499" customFormat="false" ht="15" hidden="false" customHeight="false" outlineLevel="0" collapsed="false">
      <c r="A499" s="0" t="s">
        <v>1059</v>
      </c>
      <c r="B499" s="0" t="s">
        <v>26</v>
      </c>
      <c r="C499" s="2" t="s">
        <v>1060</v>
      </c>
      <c r="D499" s="2" t="s">
        <v>861</v>
      </c>
      <c r="E499" s="3" t="s">
        <v>71</v>
      </c>
      <c r="F499" s="3" t="s">
        <v>29</v>
      </c>
      <c r="G499" s="0" t="n">
        <v>1712</v>
      </c>
      <c r="H499" s="4" t="n">
        <v>88.17</v>
      </c>
      <c r="I499" s="4" t="n">
        <v>85.86</v>
      </c>
      <c r="J499" s="0" t="n">
        <v>246</v>
      </c>
      <c r="K499" s="3" t="s">
        <v>24</v>
      </c>
      <c r="L499" s="3" t="n">
        <f aca="false">IF(D499="","",IF(D499-C499&lt;0,"",D499-C499))</f>
        <v>18</v>
      </c>
      <c r="M499" s="4" t="n">
        <f aca="false">G499*I499</f>
        <v>146992.32</v>
      </c>
      <c r="N499" s="5" t="n">
        <f aca="false">IF(J499="","",J499/G499*100)</f>
        <v>14.3691588785047</v>
      </c>
      <c r="O499" s="5" t="n">
        <f aca="false">(H499-I499)/H499*100</f>
        <v>2.61993875467846</v>
      </c>
      <c r="P499" s="3" t="n">
        <f aca="false">IF(OR(F499="Delivered",F499="Partially Delivered"),1,0)</f>
        <v>1</v>
      </c>
      <c r="Q499" s="3" t="n">
        <f aca="false">IF(F499="Cancelled",1,0)</f>
        <v>0</v>
      </c>
      <c r="R499" s="3" t="n">
        <f aca="false">IF(K499="Yes",1,0)</f>
        <v>1</v>
      </c>
    </row>
    <row r="500" customFormat="false" ht="15" hidden="false" customHeight="false" outlineLevel="0" collapsed="false">
      <c r="A500" s="0" t="s">
        <v>1061</v>
      </c>
      <c r="B500" s="0" t="s">
        <v>31</v>
      </c>
      <c r="C500" s="2" t="s">
        <v>1062</v>
      </c>
      <c r="D500" s="2"/>
      <c r="E500" s="3" t="s">
        <v>22</v>
      </c>
      <c r="F500" s="3" t="s">
        <v>29</v>
      </c>
      <c r="G500" s="0" t="n">
        <v>204</v>
      </c>
      <c r="H500" s="4" t="n">
        <v>40.76</v>
      </c>
      <c r="I500" s="4" t="n">
        <v>37.46</v>
      </c>
      <c r="J500" s="0" t="n">
        <v>10</v>
      </c>
      <c r="K500" s="3" t="s">
        <v>24</v>
      </c>
      <c r="L500" s="0" t="str">
        <f aca="false">IF(D500="","",IF(D500-C500&lt;0,"",D500-C500))</f>
        <v/>
      </c>
      <c r="M500" s="4" t="n">
        <f aca="false">G500*I500</f>
        <v>7641.84</v>
      </c>
      <c r="N500" s="5" t="n">
        <f aca="false">IF(J500="","",J500/G500*100)</f>
        <v>4.90196078431373</v>
      </c>
      <c r="O500" s="5" t="n">
        <f aca="false">(H500-I500)/H500*100</f>
        <v>8.09617271835132</v>
      </c>
      <c r="P500" s="3" t="n">
        <f aca="false">IF(OR(F500="Delivered",F500="Partially Delivered"),1,0)</f>
        <v>1</v>
      </c>
      <c r="Q500" s="3" t="n">
        <f aca="false">IF(F500="Cancelled",1,0)</f>
        <v>0</v>
      </c>
      <c r="R500" s="3" t="n">
        <f aca="false">IF(K500="Yes",1,0)</f>
        <v>1</v>
      </c>
    </row>
    <row r="501" customFormat="false" ht="15" hidden="false" customHeight="false" outlineLevel="0" collapsed="false">
      <c r="A501" s="0" t="s">
        <v>1063</v>
      </c>
      <c r="B501" s="0" t="s">
        <v>36</v>
      </c>
      <c r="C501" s="2" t="s">
        <v>54</v>
      </c>
      <c r="D501" s="2" t="s">
        <v>1064</v>
      </c>
      <c r="E501" s="3" t="s">
        <v>71</v>
      </c>
      <c r="F501" s="3" t="s">
        <v>58</v>
      </c>
      <c r="G501" s="0" t="n">
        <v>539</v>
      </c>
      <c r="H501" s="4" t="n">
        <v>33.85</v>
      </c>
      <c r="I501" s="4" t="n">
        <v>30.57</v>
      </c>
      <c r="J501" s="0" t="n">
        <v>34</v>
      </c>
      <c r="K501" s="3" t="s">
        <v>44</v>
      </c>
      <c r="L501" s="3" t="n">
        <f aca="false">IF(D501="","",IF(D501-C501&lt;0,"",D501-C501))</f>
        <v>14</v>
      </c>
      <c r="M501" s="4" t="n">
        <f aca="false">G501*I501</f>
        <v>16477.23</v>
      </c>
      <c r="N501" s="5" t="n">
        <f aca="false">IF(J501="","",J501/G501*100)</f>
        <v>6.30797773654917</v>
      </c>
      <c r="O501" s="5" t="n">
        <f aca="false">(H501-I501)/H501*100</f>
        <v>9.68980797636633</v>
      </c>
      <c r="P501" s="3" t="n">
        <f aca="false">IF(OR(F501="Delivered",F501="Partially Delivered"),1,0)</f>
        <v>1</v>
      </c>
      <c r="Q501" s="3" t="n">
        <f aca="false">IF(F501="Cancelled",1,0)</f>
        <v>0</v>
      </c>
      <c r="R501" s="3" t="n">
        <f aca="false">IF(K501="Yes",1,0)</f>
        <v>0</v>
      </c>
    </row>
    <row r="502" customFormat="false" ht="15" hidden="false" customHeight="false" outlineLevel="0" collapsed="false">
      <c r="A502" s="0" t="s">
        <v>1065</v>
      </c>
      <c r="B502" s="0" t="s">
        <v>26</v>
      </c>
      <c r="C502" s="2" t="s">
        <v>818</v>
      </c>
      <c r="D502" s="2" t="s">
        <v>441</v>
      </c>
      <c r="E502" s="3" t="s">
        <v>22</v>
      </c>
      <c r="F502" s="3" t="s">
        <v>29</v>
      </c>
      <c r="G502" s="0" t="n">
        <v>1459</v>
      </c>
      <c r="H502" s="4" t="n">
        <v>45.94</v>
      </c>
      <c r="I502" s="4" t="n">
        <v>42.56</v>
      </c>
      <c r="J502" s="0" t="n">
        <v>212</v>
      </c>
      <c r="K502" s="3" t="s">
        <v>44</v>
      </c>
      <c r="L502" s="3" t="n">
        <f aca="false">IF(D502="","",IF(D502-C502&lt;0,"",D502-C502))</f>
        <v>10</v>
      </c>
      <c r="M502" s="4" t="n">
        <f aca="false">G502*I502</f>
        <v>62095.04</v>
      </c>
      <c r="N502" s="5" t="n">
        <f aca="false">IF(J502="","",J502/G502*100)</f>
        <v>14.5305003427005</v>
      </c>
      <c r="O502" s="5" t="n">
        <f aca="false">(H502-I502)/H502*100</f>
        <v>7.35742272529385</v>
      </c>
      <c r="P502" s="3" t="n">
        <f aca="false">IF(OR(F502="Delivered",F502="Partially Delivered"),1,0)</f>
        <v>1</v>
      </c>
      <c r="Q502" s="3" t="n">
        <f aca="false">IF(F502="Cancelled",1,0)</f>
        <v>0</v>
      </c>
      <c r="R502" s="3" t="n">
        <f aca="false">IF(K502="Yes",1,0)</f>
        <v>0</v>
      </c>
    </row>
    <row r="503" customFormat="false" ht="15" hidden="false" customHeight="false" outlineLevel="0" collapsed="false">
      <c r="A503" s="0" t="s">
        <v>1066</v>
      </c>
      <c r="B503" s="0" t="s">
        <v>31</v>
      </c>
      <c r="C503" s="2" t="s">
        <v>445</v>
      </c>
      <c r="D503" s="2" t="s">
        <v>272</v>
      </c>
      <c r="E503" s="3" t="s">
        <v>34</v>
      </c>
      <c r="F503" s="3" t="s">
        <v>29</v>
      </c>
      <c r="G503" s="0" t="n">
        <v>834</v>
      </c>
      <c r="H503" s="4" t="n">
        <v>65.02</v>
      </c>
      <c r="I503" s="4" t="n">
        <v>56.19</v>
      </c>
      <c r="K503" s="3" t="s">
        <v>24</v>
      </c>
      <c r="L503" s="3" t="n">
        <f aca="false">IF(D503="","",IF(D503-C503&lt;0,"",D503-C503))</f>
        <v>4</v>
      </c>
      <c r="M503" s="4" t="n">
        <f aca="false">G503*I503</f>
        <v>46862.46</v>
      </c>
      <c r="N503" s="5" t="str">
        <f aca="false">IF(J503="","",J503/G503*100)</f>
        <v/>
      </c>
      <c r="O503" s="5" t="n">
        <f aca="false">(H503-I503)/H503*100</f>
        <v>13.5804367886804</v>
      </c>
      <c r="P503" s="3" t="n">
        <f aca="false">IF(OR(F503="Delivered",F503="Partially Delivered"),1,0)</f>
        <v>1</v>
      </c>
      <c r="Q503" s="3" t="n">
        <f aca="false">IF(F503="Cancelled",1,0)</f>
        <v>0</v>
      </c>
      <c r="R503" s="3" t="n">
        <f aca="false">IF(K503="Yes",1,0)</f>
        <v>1</v>
      </c>
    </row>
    <row r="504" customFormat="false" ht="15" hidden="false" customHeight="false" outlineLevel="0" collapsed="false">
      <c r="A504" s="0" t="s">
        <v>1067</v>
      </c>
      <c r="B504" s="0" t="s">
        <v>31</v>
      </c>
      <c r="C504" s="2" t="s">
        <v>1068</v>
      </c>
      <c r="D504" s="2" t="s">
        <v>800</v>
      </c>
      <c r="E504" s="3" t="s">
        <v>39</v>
      </c>
      <c r="F504" s="3" t="s">
        <v>58</v>
      </c>
      <c r="G504" s="0" t="n">
        <v>1177</v>
      </c>
      <c r="H504" s="4" t="n">
        <v>37.37</v>
      </c>
      <c r="I504" s="4" t="n">
        <v>34.27</v>
      </c>
      <c r="J504" s="0" t="n">
        <v>60</v>
      </c>
      <c r="K504" s="3" t="s">
        <v>24</v>
      </c>
      <c r="L504" s="3" t="n">
        <f aca="false">IF(D504="","",IF(D504-C504&lt;0,"",D504-C504))</f>
        <v>14</v>
      </c>
      <c r="M504" s="4" t="n">
        <f aca="false">G504*I504</f>
        <v>40335.79</v>
      </c>
      <c r="N504" s="5" t="n">
        <f aca="false">IF(J504="","",J504/G504*100)</f>
        <v>5.09770603228547</v>
      </c>
      <c r="O504" s="5" t="n">
        <f aca="false">(H504-I504)/H504*100</f>
        <v>8.29542413700828</v>
      </c>
      <c r="P504" s="3" t="n">
        <f aca="false">IF(OR(F504="Delivered",F504="Partially Delivered"),1,0)</f>
        <v>1</v>
      </c>
      <c r="Q504" s="3" t="n">
        <f aca="false">IF(F504="Cancelled",1,0)</f>
        <v>0</v>
      </c>
      <c r="R504" s="3" t="n">
        <f aca="false">IF(K504="Yes",1,0)</f>
        <v>1</v>
      </c>
    </row>
    <row r="505" customFormat="false" ht="15" hidden="false" customHeight="false" outlineLevel="0" collapsed="false">
      <c r="A505" s="0" t="s">
        <v>1069</v>
      </c>
      <c r="B505" s="0" t="s">
        <v>26</v>
      </c>
      <c r="C505" s="2" t="s">
        <v>336</v>
      </c>
      <c r="D505" s="2" t="s">
        <v>868</v>
      </c>
      <c r="E505" s="3" t="s">
        <v>34</v>
      </c>
      <c r="F505" s="3" t="s">
        <v>29</v>
      </c>
      <c r="G505" s="0" t="n">
        <v>1466</v>
      </c>
      <c r="H505" s="4" t="n">
        <v>68.82</v>
      </c>
      <c r="I505" s="4" t="n">
        <v>66.82</v>
      </c>
      <c r="J505" s="0" t="n">
        <v>211</v>
      </c>
      <c r="K505" s="3" t="s">
        <v>24</v>
      </c>
      <c r="L505" s="3" t="n">
        <f aca="false">IF(D505="","",IF(D505-C505&lt;0,"",D505-C505))</f>
        <v>20</v>
      </c>
      <c r="M505" s="4" t="n">
        <f aca="false">G505*I505</f>
        <v>97958.12</v>
      </c>
      <c r="N505" s="5" t="n">
        <f aca="false">IF(J505="","",J505/G505*100)</f>
        <v>14.3929058663029</v>
      </c>
      <c r="O505" s="5" t="n">
        <f aca="false">(H505-I505)/H505*100</f>
        <v>2.90613193839</v>
      </c>
      <c r="P505" s="3" t="n">
        <f aca="false">IF(OR(F505="Delivered",F505="Partially Delivered"),1,0)</f>
        <v>1</v>
      </c>
      <c r="Q505" s="3" t="n">
        <f aca="false">IF(F505="Cancelled",1,0)</f>
        <v>0</v>
      </c>
      <c r="R505" s="3" t="n">
        <f aca="false">IF(K505="Yes",1,0)</f>
        <v>1</v>
      </c>
    </row>
    <row r="506" customFormat="false" ht="15" hidden="false" customHeight="false" outlineLevel="0" collapsed="false">
      <c r="A506" s="0" t="s">
        <v>1070</v>
      </c>
      <c r="B506" s="0" t="s">
        <v>46</v>
      </c>
      <c r="C506" s="2" t="s">
        <v>1021</v>
      </c>
      <c r="D506" s="2" t="s">
        <v>604</v>
      </c>
      <c r="E506" s="3" t="s">
        <v>71</v>
      </c>
      <c r="F506" s="3" t="s">
        <v>29</v>
      </c>
      <c r="G506" s="0" t="n">
        <v>1884</v>
      </c>
      <c r="H506" s="4" t="n">
        <v>47.08</v>
      </c>
      <c r="I506" s="4" t="n">
        <v>44.31</v>
      </c>
      <c r="J506" s="0" t="n">
        <v>54</v>
      </c>
      <c r="K506" s="3" t="s">
        <v>24</v>
      </c>
      <c r="L506" s="3" t="n">
        <f aca="false">IF(D506="","",IF(D506-C506&lt;0,"",D506-C506))</f>
        <v>4</v>
      </c>
      <c r="M506" s="4" t="n">
        <f aca="false">G506*I506</f>
        <v>83480.04</v>
      </c>
      <c r="N506" s="5" t="n">
        <f aca="false">IF(J506="","",J506/G506*100)</f>
        <v>2.86624203821656</v>
      </c>
      <c r="O506" s="5" t="n">
        <f aca="false">(H506-I506)/H506*100</f>
        <v>5.88360237892947</v>
      </c>
      <c r="P506" s="3" t="n">
        <f aca="false">IF(OR(F506="Delivered",F506="Partially Delivered"),1,0)</f>
        <v>1</v>
      </c>
      <c r="Q506" s="3" t="n">
        <f aca="false">IF(F506="Cancelled",1,0)</f>
        <v>0</v>
      </c>
      <c r="R506" s="3" t="n">
        <f aca="false">IF(K506="Yes",1,0)</f>
        <v>1</v>
      </c>
    </row>
    <row r="507" customFormat="false" ht="15" hidden="false" customHeight="false" outlineLevel="0" collapsed="false">
      <c r="A507" s="0" t="s">
        <v>1071</v>
      </c>
      <c r="B507" s="0" t="s">
        <v>36</v>
      </c>
      <c r="C507" s="2" t="s">
        <v>222</v>
      </c>
      <c r="D507" s="2" t="s">
        <v>175</v>
      </c>
      <c r="E507" s="3" t="s">
        <v>71</v>
      </c>
      <c r="F507" s="3" t="s">
        <v>29</v>
      </c>
      <c r="G507" s="0" t="n">
        <v>295</v>
      </c>
      <c r="H507" s="4" t="n">
        <v>60.58</v>
      </c>
      <c r="I507" s="4" t="n">
        <v>57.32</v>
      </c>
      <c r="J507" s="0" t="n">
        <v>31</v>
      </c>
      <c r="K507" s="3" t="s">
        <v>24</v>
      </c>
      <c r="L507" s="3" t="n">
        <f aca="false">IF(D507="","",IF(D507-C507&lt;0,"",D507-C507))</f>
        <v>16</v>
      </c>
      <c r="M507" s="4" t="n">
        <f aca="false">G507*I507</f>
        <v>16909.4</v>
      </c>
      <c r="N507" s="5" t="n">
        <f aca="false">IF(J507="","",J507/G507*100)</f>
        <v>10.5084745762712</v>
      </c>
      <c r="O507" s="5" t="n">
        <f aca="false">(H507-I507)/H507*100</f>
        <v>5.38131396500495</v>
      </c>
      <c r="P507" s="3" t="n">
        <f aca="false">IF(OR(F507="Delivered",F507="Partially Delivered"),1,0)</f>
        <v>1</v>
      </c>
      <c r="Q507" s="3" t="n">
        <f aca="false">IF(F507="Cancelled",1,0)</f>
        <v>0</v>
      </c>
      <c r="R507" s="3" t="n">
        <f aca="false">IF(K507="Yes",1,0)</f>
        <v>1</v>
      </c>
    </row>
    <row r="508" customFormat="false" ht="15" hidden="false" customHeight="false" outlineLevel="0" collapsed="false">
      <c r="A508" s="0" t="s">
        <v>1072</v>
      </c>
      <c r="B508" s="0" t="s">
        <v>31</v>
      </c>
      <c r="C508" s="2" t="s">
        <v>357</v>
      </c>
      <c r="D508" s="2" t="s">
        <v>759</v>
      </c>
      <c r="E508" s="3" t="s">
        <v>43</v>
      </c>
      <c r="F508" s="3" t="s">
        <v>29</v>
      </c>
      <c r="G508" s="0" t="n">
        <v>1249</v>
      </c>
      <c r="H508" s="4" t="n">
        <v>54.18</v>
      </c>
      <c r="I508" s="4" t="n">
        <v>47.29</v>
      </c>
      <c r="J508" s="0" t="n">
        <v>59</v>
      </c>
      <c r="K508" s="3" t="s">
        <v>24</v>
      </c>
      <c r="L508" s="3" t="n">
        <f aca="false">IF(D508="","",IF(D508-C508&lt;0,"",D508-C508))</f>
        <v>1</v>
      </c>
      <c r="M508" s="4" t="n">
        <f aca="false">G508*I508</f>
        <v>59065.21</v>
      </c>
      <c r="N508" s="5" t="n">
        <f aca="false">IF(J508="","",J508/G508*100)</f>
        <v>4.72377902321858</v>
      </c>
      <c r="O508" s="5" t="n">
        <f aca="false">(H508-I508)/H508*100</f>
        <v>12.7168696936139</v>
      </c>
      <c r="P508" s="3" t="n">
        <f aca="false">IF(OR(F508="Delivered",F508="Partially Delivered"),1,0)</f>
        <v>1</v>
      </c>
      <c r="Q508" s="3" t="n">
        <f aca="false">IF(F508="Cancelled",1,0)</f>
        <v>0</v>
      </c>
      <c r="R508" s="3" t="n">
        <f aca="false">IF(K508="Yes",1,0)</f>
        <v>1</v>
      </c>
    </row>
    <row r="509" customFormat="false" ht="15" hidden="false" customHeight="false" outlineLevel="0" collapsed="false">
      <c r="A509" s="0" t="s">
        <v>1073</v>
      </c>
      <c r="B509" s="0" t="s">
        <v>26</v>
      </c>
      <c r="C509" s="2" t="s">
        <v>1074</v>
      </c>
      <c r="D509" s="2" t="s">
        <v>432</v>
      </c>
      <c r="E509" s="3" t="s">
        <v>43</v>
      </c>
      <c r="F509" s="3" t="s">
        <v>29</v>
      </c>
      <c r="G509" s="0" t="n">
        <v>1112</v>
      </c>
      <c r="H509" s="4" t="n">
        <v>39.06</v>
      </c>
      <c r="I509" s="4" t="n">
        <v>33.6</v>
      </c>
      <c r="J509" s="0" t="n">
        <v>184</v>
      </c>
      <c r="K509" s="3" t="s">
        <v>44</v>
      </c>
      <c r="L509" s="3" t="n">
        <f aca="false">IF(D509="","",IF(D509-C509&lt;0,"",D509-C509))</f>
        <v>19</v>
      </c>
      <c r="M509" s="4" t="n">
        <f aca="false">G509*I509</f>
        <v>37363.2</v>
      </c>
      <c r="N509" s="5" t="n">
        <f aca="false">IF(J509="","",J509/G509*100)</f>
        <v>16.5467625899281</v>
      </c>
      <c r="O509" s="5" t="n">
        <f aca="false">(H509-I509)/H509*100</f>
        <v>13.9784946236559</v>
      </c>
      <c r="P509" s="3" t="n">
        <f aca="false">IF(OR(F509="Delivered",F509="Partially Delivered"),1,0)</f>
        <v>1</v>
      </c>
      <c r="Q509" s="3" t="n">
        <f aca="false">IF(F509="Cancelled",1,0)</f>
        <v>0</v>
      </c>
      <c r="R509" s="3" t="n">
        <f aca="false">IF(K509="Yes",1,0)</f>
        <v>0</v>
      </c>
    </row>
    <row r="510" customFormat="false" ht="15" hidden="false" customHeight="false" outlineLevel="0" collapsed="false">
      <c r="A510" s="0" t="s">
        <v>1075</v>
      </c>
      <c r="B510" s="0" t="s">
        <v>31</v>
      </c>
      <c r="C510" s="2" t="s">
        <v>607</v>
      </c>
      <c r="D510" s="2" t="s">
        <v>1031</v>
      </c>
      <c r="E510" s="3" t="s">
        <v>22</v>
      </c>
      <c r="F510" s="3" t="s">
        <v>29</v>
      </c>
      <c r="G510" s="0" t="n">
        <v>1550</v>
      </c>
      <c r="H510" s="4" t="n">
        <v>100.61</v>
      </c>
      <c r="I510" s="4" t="n">
        <v>97.43</v>
      </c>
      <c r="J510" s="0" t="n">
        <v>66</v>
      </c>
      <c r="K510" s="3" t="s">
        <v>24</v>
      </c>
      <c r="L510" s="3" t="n">
        <f aca="false">IF(D510="","",IF(D510-C510&lt;0,"",D510-C510))</f>
        <v>5</v>
      </c>
      <c r="M510" s="4" t="n">
        <f aca="false">G510*I510</f>
        <v>151016.5</v>
      </c>
      <c r="N510" s="5" t="n">
        <f aca="false">IF(J510="","",J510/G510*100)</f>
        <v>4.25806451612903</v>
      </c>
      <c r="O510" s="5" t="n">
        <f aca="false">(H510-I510)/H510*100</f>
        <v>3.1607196103767</v>
      </c>
      <c r="P510" s="3" t="n">
        <f aca="false">IF(OR(F510="Delivered",F510="Partially Delivered"),1,0)</f>
        <v>1</v>
      </c>
      <c r="Q510" s="3" t="n">
        <f aca="false">IF(F510="Cancelled",1,0)</f>
        <v>0</v>
      </c>
      <c r="R510" s="3" t="n">
        <f aca="false">IF(K510="Yes",1,0)</f>
        <v>1</v>
      </c>
    </row>
    <row r="511" customFormat="false" ht="15" hidden="false" customHeight="false" outlineLevel="0" collapsed="false">
      <c r="A511" s="0" t="s">
        <v>1076</v>
      </c>
      <c r="B511" s="0" t="s">
        <v>26</v>
      </c>
      <c r="C511" s="2" t="s">
        <v>764</v>
      </c>
      <c r="D511" s="2" t="s">
        <v>318</v>
      </c>
      <c r="E511" s="3" t="s">
        <v>71</v>
      </c>
      <c r="F511" s="3" t="s">
        <v>29</v>
      </c>
      <c r="G511" s="0" t="n">
        <v>1755</v>
      </c>
      <c r="H511" s="4" t="n">
        <v>82.66</v>
      </c>
      <c r="I511" s="4" t="n">
        <v>73.67</v>
      </c>
      <c r="J511" s="0" t="n">
        <v>258</v>
      </c>
      <c r="K511" s="3" t="s">
        <v>44</v>
      </c>
      <c r="L511" s="3" t="n">
        <f aca="false">IF(D511="","",IF(D511-C511&lt;0,"",D511-C511))</f>
        <v>1</v>
      </c>
      <c r="M511" s="4" t="n">
        <f aca="false">G511*I511</f>
        <v>129290.85</v>
      </c>
      <c r="N511" s="5" t="n">
        <f aca="false">IF(J511="","",J511/G511*100)</f>
        <v>14.7008547008547</v>
      </c>
      <c r="O511" s="5" t="n">
        <f aca="false">(H511-I511)/H511*100</f>
        <v>10.8758770868618</v>
      </c>
      <c r="P511" s="3" t="n">
        <f aca="false">IF(OR(F511="Delivered",F511="Partially Delivered"),1,0)</f>
        <v>1</v>
      </c>
      <c r="Q511" s="3" t="n">
        <f aca="false">IF(F511="Cancelled",1,0)</f>
        <v>0</v>
      </c>
      <c r="R511" s="3" t="n">
        <f aca="false">IF(K511="Yes",1,0)</f>
        <v>0</v>
      </c>
    </row>
    <row r="512" customFormat="false" ht="15" hidden="false" customHeight="false" outlineLevel="0" collapsed="false">
      <c r="A512" s="0" t="s">
        <v>1077</v>
      </c>
      <c r="B512" s="0" t="s">
        <v>31</v>
      </c>
      <c r="C512" s="2" t="s">
        <v>1078</v>
      </c>
      <c r="D512" s="2" t="s">
        <v>1079</v>
      </c>
      <c r="E512" s="3" t="s">
        <v>43</v>
      </c>
      <c r="F512" s="3" t="s">
        <v>29</v>
      </c>
      <c r="G512" s="0" t="n">
        <v>808</v>
      </c>
      <c r="H512" s="4" t="n">
        <v>24.19</v>
      </c>
      <c r="I512" s="4" t="n">
        <v>21.64</v>
      </c>
      <c r="J512" s="0" t="n">
        <v>39</v>
      </c>
      <c r="K512" s="3" t="s">
        <v>24</v>
      </c>
      <c r="L512" s="3" t="n">
        <f aca="false">IF(D512="","",IF(D512-C512&lt;0,"",D512-C512))</f>
        <v>8</v>
      </c>
      <c r="M512" s="4" t="n">
        <f aca="false">G512*I512</f>
        <v>17485.12</v>
      </c>
      <c r="N512" s="5" t="n">
        <f aca="false">IF(J512="","",J512/G512*100)</f>
        <v>4.82673267326733</v>
      </c>
      <c r="O512" s="5" t="n">
        <f aca="false">(H512-I512)/H512*100</f>
        <v>10.541546093427</v>
      </c>
      <c r="P512" s="3" t="n">
        <f aca="false">IF(OR(F512="Delivered",F512="Partially Delivered"),1,0)</f>
        <v>1</v>
      </c>
      <c r="Q512" s="3" t="n">
        <f aca="false">IF(F512="Cancelled",1,0)</f>
        <v>0</v>
      </c>
      <c r="R512" s="3" t="n">
        <f aca="false">IF(K512="Yes",1,0)</f>
        <v>1</v>
      </c>
    </row>
    <row r="513" customFormat="false" ht="15" hidden="false" customHeight="false" outlineLevel="0" collapsed="false">
      <c r="A513" s="0" t="s">
        <v>1080</v>
      </c>
      <c r="B513" s="0" t="s">
        <v>19</v>
      </c>
      <c r="C513" s="2" t="s">
        <v>1081</v>
      </c>
      <c r="D513" s="2" t="s">
        <v>399</v>
      </c>
      <c r="E513" s="3" t="s">
        <v>43</v>
      </c>
      <c r="F513" s="3" t="s">
        <v>58</v>
      </c>
      <c r="G513" s="0" t="n">
        <v>587</v>
      </c>
      <c r="H513" s="4" t="n">
        <v>96.98</v>
      </c>
      <c r="I513" s="4" t="n">
        <v>95.35</v>
      </c>
      <c r="J513" s="0" t="n">
        <v>14</v>
      </c>
      <c r="K513" s="3" t="s">
        <v>24</v>
      </c>
      <c r="L513" s="3" t="n">
        <f aca="false">IF(D513="","",IF(D513-C513&lt;0,"",D513-C513))</f>
        <v>6</v>
      </c>
      <c r="M513" s="4" t="n">
        <f aca="false">G513*I513</f>
        <v>55970.45</v>
      </c>
      <c r="N513" s="5" t="n">
        <f aca="false">IF(J513="","",J513/G513*100)</f>
        <v>2.38500851788756</v>
      </c>
      <c r="O513" s="5" t="n">
        <f aca="false">(H513-I513)/H513*100</f>
        <v>1.68075891936483</v>
      </c>
      <c r="P513" s="3" t="n">
        <f aca="false">IF(OR(F513="Delivered",F513="Partially Delivered"),1,0)</f>
        <v>1</v>
      </c>
      <c r="Q513" s="3" t="n">
        <f aca="false">IF(F513="Cancelled",1,0)</f>
        <v>0</v>
      </c>
      <c r="R513" s="3" t="n">
        <f aca="false">IF(K513="Yes",1,0)</f>
        <v>1</v>
      </c>
    </row>
    <row r="514" customFormat="false" ht="15" hidden="false" customHeight="false" outlineLevel="0" collapsed="false">
      <c r="A514" s="0" t="s">
        <v>1082</v>
      </c>
      <c r="B514" s="0" t="s">
        <v>46</v>
      </c>
      <c r="C514" s="2" t="s">
        <v>1083</v>
      </c>
      <c r="D514" s="2" t="s">
        <v>325</v>
      </c>
      <c r="E514" s="3" t="s">
        <v>34</v>
      </c>
      <c r="F514" s="3" t="s">
        <v>29</v>
      </c>
      <c r="G514" s="0" t="n">
        <v>1940</v>
      </c>
      <c r="H514" s="4" t="n">
        <v>58.45</v>
      </c>
      <c r="I514" s="4" t="n">
        <v>50.29</v>
      </c>
      <c r="J514" s="0" t="n">
        <v>54</v>
      </c>
      <c r="K514" s="3" t="s">
        <v>24</v>
      </c>
      <c r="L514" s="3" t="n">
        <f aca="false">IF(D514="","",IF(D514-C514&lt;0,"",D514-C514))</f>
        <v>3</v>
      </c>
      <c r="M514" s="4" t="n">
        <f aca="false">G514*I514</f>
        <v>97562.6</v>
      </c>
      <c r="N514" s="5" t="n">
        <f aca="false">IF(J514="","",J514/G514*100)</f>
        <v>2.78350515463918</v>
      </c>
      <c r="O514" s="5" t="n">
        <f aca="false">(H514-I514)/H514*100</f>
        <v>13.9606501283148</v>
      </c>
      <c r="P514" s="3" t="n">
        <f aca="false">IF(OR(F514="Delivered",F514="Partially Delivered"),1,0)</f>
        <v>1</v>
      </c>
      <c r="Q514" s="3" t="n">
        <f aca="false">IF(F514="Cancelled",1,0)</f>
        <v>0</v>
      </c>
      <c r="R514" s="3" t="n">
        <f aca="false">IF(K514="Yes",1,0)</f>
        <v>1</v>
      </c>
    </row>
    <row r="515" customFormat="false" ht="15" hidden="false" customHeight="false" outlineLevel="0" collapsed="false">
      <c r="A515" s="0" t="s">
        <v>1084</v>
      </c>
      <c r="B515" s="0" t="s">
        <v>36</v>
      </c>
      <c r="C515" s="2" t="s">
        <v>54</v>
      </c>
      <c r="D515" s="2" t="s">
        <v>973</v>
      </c>
      <c r="E515" s="3" t="s">
        <v>22</v>
      </c>
      <c r="F515" s="3" t="s">
        <v>23</v>
      </c>
      <c r="G515" s="0" t="n">
        <v>1891</v>
      </c>
      <c r="H515" s="4" t="n">
        <v>91.87</v>
      </c>
      <c r="I515" s="4" t="n">
        <v>80.28</v>
      </c>
      <c r="J515" s="0" t="n">
        <v>158</v>
      </c>
      <c r="K515" s="3" t="s">
        <v>24</v>
      </c>
      <c r="L515" s="3" t="n">
        <f aca="false">IF(D515="","",IF(D515-C515&lt;0,"",D515-C515))</f>
        <v>12</v>
      </c>
      <c r="M515" s="4" t="n">
        <f aca="false">G515*I515</f>
        <v>151809.48</v>
      </c>
      <c r="N515" s="5" t="n">
        <f aca="false">IF(J515="","",J515/G515*100)</f>
        <v>8.35536753040719</v>
      </c>
      <c r="O515" s="5" t="n">
        <f aca="false">(H515-I515)/H515*100</f>
        <v>12.6156525525199</v>
      </c>
      <c r="P515" s="3" t="n">
        <f aca="false">IF(OR(F515="Delivered",F515="Partially Delivered"),1,0)</f>
        <v>0</v>
      </c>
      <c r="Q515" s="3" t="n">
        <f aca="false">IF(F515="Cancelled",1,0)</f>
        <v>1</v>
      </c>
      <c r="R515" s="3" t="n">
        <f aca="false">IF(K515="Yes",1,0)</f>
        <v>1</v>
      </c>
    </row>
    <row r="516" customFormat="false" ht="15" hidden="false" customHeight="false" outlineLevel="0" collapsed="false">
      <c r="A516" s="0" t="s">
        <v>1085</v>
      </c>
      <c r="B516" s="0" t="s">
        <v>46</v>
      </c>
      <c r="C516" s="2" t="s">
        <v>394</v>
      </c>
      <c r="D516" s="2" t="s">
        <v>1045</v>
      </c>
      <c r="E516" s="3" t="s">
        <v>39</v>
      </c>
      <c r="F516" s="3" t="s">
        <v>29</v>
      </c>
      <c r="G516" s="0" t="n">
        <v>970</v>
      </c>
      <c r="H516" s="4" t="n">
        <v>86.91</v>
      </c>
      <c r="I516" s="4" t="n">
        <v>78.44</v>
      </c>
      <c r="J516" s="0" t="n">
        <v>18</v>
      </c>
      <c r="K516" s="3" t="s">
        <v>24</v>
      </c>
      <c r="L516" s="3" t="n">
        <f aca="false">IF(D516="","",IF(D516-C516&lt;0,"",D516-C516))</f>
        <v>17</v>
      </c>
      <c r="M516" s="4" t="n">
        <f aca="false">G516*I516</f>
        <v>76086.8</v>
      </c>
      <c r="N516" s="5" t="n">
        <f aca="false">IF(J516="","",J516/G516*100)</f>
        <v>1.85567010309278</v>
      </c>
      <c r="O516" s="5" t="n">
        <f aca="false">(H516-I516)/H516*100</f>
        <v>9.74571395696698</v>
      </c>
      <c r="P516" s="3" t="n">
        <f aca="false">IF(OR(F516="Delivered",F516="Partially Delivered"),1,0)</f>
        <v>1</v>
      </c>
      <c r="Q516" s="3" t="n">
        <f aca="false">IF(F516="Cancelled",1,0)</f>
        <v>0</v>
      </c>
      <c r="R516" s="3" t="n">
        <f aca="false">IF(K516="Yes",1,0)</f>
        <v>1</v>
      </c>
    </row>
    <row r="517" customFormat="false" ht="15" hidden="false" customHeight="false" outlineLevel="0" collapsed="false">
      <c r="A517" s="0" t="s">
        <v>1086</v>
      </c>
      <c r="B517" s="0" t="s">
        <v>46</v>
      </c>
      <c r="C517" s="2" t="s">
        <v>343</v>
      </c>
      <c r="D517" s="2" t="s">
        <v>1087</v>
      </c>
      <c r="E517" s="3" t="s">
        <v>34</v>
      </c>
      <c r="F517" s="3" t="s">
        <v>29</v>
      </c>
      <c r="G517" s="0" t="n">
        <v>457</v>
      </c>
      <c r="H517" s="4" t="n">
        <v>52.85</v>
      </c>
      <c r="I517" s="4" t="n">
        <v>50.34</v>
      </c>
      <c r="J517" s="0" t="n">
        <v>16</v>
      </c>
      <c r="K517" s="3" t="s">
        <v>24</v>
      </c>
      <c r="L517" s="3" t="n">
        <f aca="false">IF(D517="","",IF(D517-C517&lt;0,"",D517-C517))</f>
        <v>17</v>
      </c>
      <c r="M517" s="4" t="n">
        <f aca="false">G517*I517</f>
        <v>23005.38</v>
      </c>
      <c r="N517" s="5" t="n">
        <f aca="false">IF(J517="","",J517/G517*100)</f>
        <v>3.50109409190372</v>
      </c>
      <c r="O517" s="5" t="n">
        <f aca="false">(H517-I517)/H517*100</f>
        <v>4.74929044465468</v>
      </c>
      <c r="P517" s="3" t="n">
        <f aca="false">IF(OR(F517="Delivered",F517="Partially Delivered"),1,0)</f>
        <v>1</v>
      </c>
      <c r="Q517" s="3" t="n">
        <f aca="false">IF(F517="Cancelled",1,0)</f>
        <v>0</v>
      </c>
      <c r="R517" s="3" t="n">
        <f aca="false">IF(K517="Yes",1,0)</f>
        <v>1</v>
      </c>
    </row>
    <row r="518" customFormat="false" ht="15" hidden="false" customHeight="false" outlineLevel="0" collapsed="false">
      <c r="A518" s="0" t="s">
        <v>1088</v>
      </c>
      <c r="B518" s="0" t="s">
        <v>36</v>
      </c>
      <c r="C518" s="2" t="s">
        <v>638</v>
      </c>
      <c r="D518" s="2" t="s">
        <v>1089</v>
      </c>
      <c r="E518" s="3" t="s">
        <v>22</v>
      </c>
      <c r="F518" s="3" t="s">
        <v>23</v>
      </c>
      <c r="G518" s="0" t="n">
        <v>574</v>
      </c>
      <c r="H518" s="4" t="n">
        <v>12.38</v>
      </c>
      <c r="I518" s="4" t="n">
        <v>11.47</v>
      </c>
      <c r="K518" s="3" t="s">
        <v>44</v>
      </c>
      <c r="L518" s="3" t="n">
        <f aca="false">IF(D518="","",IF(D518-C518&lt;0,"",D518-C518))</f>
        <v>13</v>
      </c>
      <c r="M518" s="4" t="n">
        <f aca="false">G518*I518</f>
        <v>6583.78</v>
      </c>
      <c r="N518" s="5" t="str">
        <f aca="false">IF(J518="","",J518/G518*100)</f>
        <v/>
      </c>
      <c r="O518" s="5" t="n">
        <f aca="false">(H518-I518)/H518*100</f>
        <v>7.35056542810986</v>
      </c>
      <c r="P518" s="3" t="n">
        <f aca="false">IF(OR(F518="Delivered",F518="Partially Delivered"),1,0)</f>
        <v>0</v>
      </c>
      <c r="Q518" s="3" t="n">
        <f aca="false">IF(F518="Cancelled",1,0)</f>
        <v>1</v>
      </c>
      <c r="R518" s="3" t="n">
        <f aca="false">IF(K518="Yes",1,0)</f>
        <v>0</v>
      </c>
    </row>
    <row r="519" customFormat="false" ht="15" hidden="false" customHeight="false" outlineLevel="0" collapsed="false">
      <c r="A519" s="0" t="s">
        <v>1090</v>
      </c>
      <c r="B519" s="0" t="s">
        <v>46</v>
      </c>
      <c r="C519" s="2" t="s">
        <v>927</v>
      </c>
      <c r="D519" s="2" t="s">
        <v>42</v>
      </c>
      <c r="E519" s="3" t="s">
        <v>22</v>
      </c>
      <c r="F519" s="3" t="s">
        <v>29</v>
      </c>
      <c r="G519" s="0" t="n">
        <v>877</v>
      </c>
      <c r="H519" s="4" t="n">
        <v>35.55</v>
      </c>
      <c r="I519" s="4" t="n">
        <v>34.69</v>
      </c>
      <c r="J519" s="0" t="n">
        <v>24</v>
      </c>
      <c r="K519" s="3" t="s">
        <v>24</v>
      </c>
      <c r="L519" s="3" t="n">
        <f aca="false">IF(D519="","",IF(D519-C519&lt;0,"",D519-C519))</f>
        <v>2</v>
      </c>
      <c r="M519" s="4" t="n">
        <f aca="false">G519*I519</f>
        <v>30423.13</v>
      </c>
      <c r="N519" s="5" t="n">
        <f aca="false">IF(J519="","",J519/G519*100)</f>
        <v>2.73660205245154</v>
      </c>
      <c r="O519" s="5" t="n">
        <f aca="false">(H519-I519)/H519*100</f>
        <v>2.41912798874824</v>
      </c>
      <c r="P519" s="3" t="n">
        <f aca="false">IF(OR(F519="Delivered",F519="Partially Delivered"),1,0)</f>
        <v>1</v>
      </c>
      <c r="Q519" s="3" t="n">
        <f aca="false">IF(F519="Cancelled",1,0)</f>
        <v>0</v>
      </c>
      <c r="R519" s="3" t="n">
        <f aca="false">IF(K519="Yes",1,0)</f>
        <v>1</v>
      </c>
    </row>
    <row r="520" customFormat="false" ht="15" hidden="false" customHeight="false" outlineLevel="0" collapsed="false">
      <c r="A520" s="0" t="s">
        <v>1091</v>
      </c>
      <c r="B520" s="0" t="s">
        <v>19</v>
      </c>
      <c r="C520" s="2" t="s">
        <v>33</v>
      </c>
      <c r="D520" s="2" t="s">
        <v>296</v>
      </c>
      <c r="E520" s="3" t="s">
        <v>34</v>
      </c>
      <c r="F520" s="3" t="s">
        <v>29</v>
      </c>
      <c r="G520" s="0" t="n">
        <v>1579</v>
      </c>
      <c r="H520" s="4" t="n">
        <v>59.04</v>
      </c>
      <c r="I520" s="4" t="n">
        <v>50.95</v>
      </c>
      <c r="J520" s="0" t="n">
        <v>29</v>
      </c>
      <c r="K520" s="3" t="s">
        <v>24</v>
      </c>
      <c r="L520" s="3" t="n">
        <f aca="false">IF(D520="","",IF(D520-C520&lt;0,"",D520-C520))</f>
        <v>12</v>
      </c>
      <c r="M520" s="4" t="n">
        <f aca="false">G520*I520</f>
        <v>80450.05</v>
      </c>
      <c r="N520" s="5" t="n">
        <f aca="false">IF(J520="","",J520/G520*100)</f>
        <v>1.83660544648512</v>
      </c>
      <c r="O520" s="5" t="n">
        <f aca="false">(H520-I520)/H520*100</f>
        <v>13.7025745257453</v>
      </c>
      <c r="P520" s="3" t="n">
        <f aca="false">IF(OR(F520="Delivered",F520="Partially Delivered"),1,0)</f>
        <v>1</v>
      </c>
      <c r="Q520" s="3" t="n">
        <f aca="false">IF(F520="Cancelled",1,0)</f>
        <v>0</v>
      </c>
      <c r="R520" s="3" t="n">
        <f aca="false">IF(K520="Yes",1,0)</f>
        <v>1</v>
      </c>
    </row>
    <row r="521" customFormat="false" ht="15" hidden="false" customHeight="false" outlineLevel="0" collapsed="false">
      <c r="A521" s="0" t="s">
        <v>1092</v>
      </c>
      <c r="B521" s="0" t="s">
        <v>26</v>
      </c>
      <c r="C521" s="2" t="s">
        <v>1093</v>
      </c>
      <c r="D521" s="2" t="s">
        <v>1094</v>
      </c>
      <c r="E521" s="3" t="s">
        <v>43</v>
      </c>
      <c r="F521" s="3" t="s">
        <v>29</v>
      </c>
      <c r="G521" s="0" t="n">
        <v>952</v>
      </c>
      <c r="H521" s="4" t="n">
        <v>74.72</v>
      </c>
      <c r="I521" s="4" t="n">
        <v>69.73</v>
      </c>
      <c r="K521" s="3" t="s">
        <v>24</v>
      </c>
      <c r="L521" s="3" t="n">
        <f aca="false">IF(D521="","",IF(D521-C521&lt;0,"",D521-C521))</f>
        <v>1</v>
      </c>
      <c r="M521" s="4" t="n">
        <f aca="false">G521*I521</f>
        <v>66382.96</v>
      </c>
      <c r="N521" s="5" t="str">
        <f aca="false">IF(J521="","",J521/G521*100)</f>
        <v/>
      </c>
      <c r="O521" s="5" t="n">
        <f aca="false">(H521-I521)/H521*100</f>
        <v>6.67826552462526</v>
      </c>
      <c r="P521" s="3" t="n">
        <f aca="false">IF(OR(F521="Delivered",F521="Partially Delivered"),1,0)</f>
        <v>1</v>
      </c>
      <c r="Q521" s="3" t="n">
        <f aca="false">IF(F521="Cancelled",1,0)</f>
        <v>0</v>
      </c>
      <c r="R521" s="3" t="n">
        <f aca="false">IF(K521="Yes",1,0)</f>
        <v>1</v>
      </c>
    </row>
    <row r="522" customFormat="false" ht="15" hidden="false" customHeight="false" outlineLevel="0" collapsed="false">
      <c r="A522" s="0" t="s">
        <v>1095</v>
      </c>
      <c r="B522" s="0" t="s">
        <v>36</v>
      </c>
      <c r="C522" s="2" t="s">
        <v>1078</v>
      </c>
      <c r="D522" s="2" t="s">
        <v>70</v>
      </c>
      <c r="E522" s="3" t="s">
        <v>43</v>
      </c>
      <c r="F522" s="3" t="s">
        <v>62</v>
      </c>
      <c r="G522" s="0" t="n">
        <v>1898</v>
      </c>
      <c r="H522" s="4" t="n">
        <v>35.53</v>
      </c>
      <c r="I522" s="4" t="n">
        <v>33.25</v>
      </c>
      <c r="J522" s="0" t="n">
        <v>187</v>
      </c>
      <c r="K522" s="3" t="s">
        <v>24</v>
      </c>
      <c r="L522" s="3" t="n">
        <f aca="false">IF(D522="","",IF(D522-C522&lt;0,"",D522-C522))</f>
        <v>3</v>
      </c>
      <c r="M522" s="4" t="n">
        <f aca="false">G522*I522</f>
        <v>63108.5</v>
      </c>
      <c r="N522" s="5" t="n">
        <f aca="false">IF(J522="","",J522/G522*100)</f>
        <v>9.85247629083246</v>
      </c>
      <c r="O522" s="5" t="n">
        <f aca="false">(H522-I522)/H522*100</f>
        <v>6.41711229946524</v>
      </c>
      <c r="P522" s="3" t="n">
        <f aca="false">IF(OR(F522="Delivered",F522="Partially Delivered"),1,0)</f>
        <v>0</v>
      </c>
      <c r="Q522" s="3" t="n">
        <f aca="false">IF(F522="Cancelled",1,0)</f>
        <v>0</v>
      </c>
      <c r="R522" s="3" t="n">
        <f aca="false">IF(K522="Yes",1,0)</f>
        <v>1</v>
      </c>
    </row>
    <row r="523" customFormat="false" ht="15" hidden="false" customHeight="false" outlineLevel="0" collapsed="false">
      <c r="A523" s="0" t="s">
        <v>1096</v>
      </c>
      <c r="B523" s="0" t="s">
        <v>26</v>
      </c>
      <c r="C523" s="2" t="s">
        <v>1097</v>
      </c>
      <c r="D523" s="2" t="s">
        <v>936</v>
      </c>
      <c r="E523" s="3" t="s">
        <v>39</v>
      </c>
      <c r="F523" s="3" t="s">
        <v>29</v>
      </c>
      <c r="G523" s="0" t="n">
        <v>85</v>
      </c>
      <c r="H523" s="4" t="n">
        <v>22.54</v>
      </c>
      <c r="I523" s="4" t="n">
        <v>20.68</v>
      </c>
      <c r="J523" s="0" t="n">
        <v>6</v>
      </c>
      <c r="K523" s="3" t="s">
        <v>24</v>
      </c>
      <c r="L523" s="3" t="n">
        <f aca="false">IF(D523="","",IF(D523-C523&lt;0,"",D523-C523))</f>
        <v>4</v>
      </c>
      <c r="M523" s="4" t="n">
        <f aca="false">G523*I523</f>
        <v>1757.8</v>
      </c>
      <c r="N523" s="5" t="n">
        <f aca="false">IF(J523="","",J523/G523*100)</f>
        <v>7.05882352941176</v>
      </c>
      <c r="O523" s="5" t="n">
        <f aca="false">(H523-I523)/H523*100</f>
        <v>8.25199645075421</v>
      </c>
      <c r="P523" s="3" t="n">
        <f aca="false">IF(OR(F523="Delivered",F523="Partially Delivered"),1,0)</f>
        <v>1</v>
      </c>
      <c r="Q523" s="3" t="n">
        <f aca="false">IF(F523="Cancelled",1,0)</f>
        <v>0</v>
      </c>
      <c r="R523" s="3" t="n">
        <f aca="false">IF(K523="Yes",1,0)</f>
        <v>1</v>
      </c>
    </row>
    <row r="524" customFormat="false" ht="15" hidden="false" customHeight="false" outlineLevel="0" collapsed="false">
      <c r="A524" s="0" t="s">
        <v>1098</v>
      </c>
      <c r="B524" s="0" t="s">
        <v>31</v>
      </c>
      <c r="C524" s="2" t="s">
        <v>449</v>
      </c>
      <c r="D524" s="2" t="s">
        <v>475</v>
      </c>
      <c r="E524" s="3" t="s">
        <v>39</v>
      </c>
      <c r="F524" s="3" t="s">
        <v>62</v>
      </c>
      <c r="G524" s="0" t="n">
        <v>734</v>
      </c>
      <c r="H524" s="4" t="n">
        <v>92.38</v>
      </c>
      <c r="I524" s="4" t="n">
        <v>78.92</v>
      </c>
      <c r="J524" s="0" t="n">
        <v>34</v>
      </c>
      <c r="K524" s="3" t="s">
        <v>44</v>
      </c>
      <c r="L524" s="3" t="n">
        <f aca="false">IF(D524="","",IF(D524-C524&lt;0,"",D524-C524))</f>
        <v>11</v>
      </c>
      <c r="M524" s="4" t="n">
        <f aca="false">G524*I524</f>
        <v>57927.28</v>
      </c>
      <c r="N524" s="5" t="n">
        <f aca="false">IF(J524="","",J524/G524*100)</f>
        <v>4.63215258855586</v>
      </c>
      <c r="O524" s="5" t="n">
        <f aca="false">(H524-I524)/H524*100</f>
        <v>14.5702533015804</v>
      </c>
      <c r="P524" s="3" t="n">
        <f aca="false">IF(OR(F524="Delivered",F524="Partially Delivered"),1,0)</f>
        <v>0</v>
      </c>
      <c r="Q524" s="3" t="n">
        <f aca="false">IF(F524="Cancelled",1,0)</f>
        <v>0</v>
      </c>
      <c r="R524" s="3" t="n">
        <f aca="false">IF(K524="Yes",1,0)</f>
        <v>0</v>
      </c>
    </row>
    <row r="525" customFormat="false" ht="15" hidden="false" customHeight="false" outlineLevel="0" collapsed="false">
      <c r="A525" s="0" t="s">
        <v>1099</v>
      </c>
      <c r="B525" s="0" t="s">
        <v>19</v>
      </c>
      <c r="C525" s="2" t="s">
        <v>345</v>
      </c>
      <c r="D525" s="2" t="s">
        <v>473</v>
      </c>
      <c r="E525" s="3" t="s">
        <v>22</v>
      </c>
      <c r="F525" s="3" t="s">
        <v>29</v>
      </c>
      <c r="G525" s="0" t="n">
        <v>69</v>
      </c>
      <c r="H525" s="4" t="n">
        <v>107.47</v>
      </c>
      <c r="I525" s="4" t="n">
        <v>105.53</v>
      </c>
      <c r="K525" s="3" t="s">
        <v>24</v>
      </c>
      <c r="L525" s="3" t="n">
        <f aca="false">IF(D525="","",IF(D525-C525&lt;0,"",D525-C525))</f>
        <v>12</v>
      </c>
      <c r="M525" s="4" t="n">
        <f aca="false">G525*I525</f>
        <v>7281.57</v>
      </c>
      <c r="N525" s="5" t="str">
        <f aca="false">IF(J525="","",J525/G525*100)</f>
        <v/>
      </c>
      <c r="O525" s="5" t="n">
        <f aca="false">(H525-I525)/H525*100</f>
        <v>1.80515492695636</v>
      </c>
      <c r="P525" s="3" t="n">
        <f aca="false">IF(OR(F525="Delivered",F525="Partially Delivered"),1,0)</f>
        <v>1</v>
      </c>
      <c r="Q525" s="3" t="n">
        <f aca="false">IF(F525="Cancelled",1,0)</f>
        <v>0</v>
      </c>
      <c r="R525" s="3" t="n">
        <f aca="false">IF(K525="Yes",1,0)</f>
        <v>1</v>
      </c>
    </row>
    <row r="526" customFormat="false" ht="15" hidden="false" customHeight="false" outlineLevel="0" collapsed="false">
      <c r="A526" s="0" t="s">
        <v>1100</v>
      </c>
      <c r="B526" s="0" t="s">
        <v>26</v>
      </c>
      <c r="C526" s="2" t="s">
        <v>788</v>
      </c>
      <c r="D526" s="2" t="s">
        <v>1101</v>
      </c>
      <c r="E526" s="3" t="s">
        <v>39</v>
      </c>
      <c r="F526" s="3" t="s">
        <v>29</v>
      </c>
      <c r="G526" s="0" t="n">
        <v>370</v>
      </c>
      <c r="H526" s="4" t="n">
        <v>63.9</v>
      </c>
      <c r="I526" s="4" t="n">
        <v>55.79</v>
      </c>
      <c r="J526" s="0" t="n">
        <v>59</v>
      </c>
      <c r="K526" s="3" t="s">
        <v>24</v>
      </c>
      <c r="L526" s="3" t="n">
        <f aca="false">IF(D526="","",IF(D526-C526&lt;0,"",D526-C526))</f>
        <v>6</v>
      </c>
      <c r="M526" s="4" t="n">
        <f aca="false">G526*I526</f>
        <v>20642.3</v>
      </c>
      <c r="N526" s="5" t="n">
        <f aca="false">IF(J526="","",J526/G526*100)</f>
        <v>15.9459459459459</v>
      </c>
      <c r="O526" s="5" t="n">
        <f aca="false">(H526-I526)/H526*100</f>
        <v>12.6917057902973</v>
      </c>
      <c r="P526" s="3" t="n">
        <f aca="false">IF(OR(F526="Delivered",F526="Partially Delivered"),1,0)</f>
        <v>1</v>
      </c>
      <c r="Q526" s="3" t="n">
        <f aca="false">IF(F526="Cancelled",1,0)</f>
        <v>0</v>
      </c>
      <c r="R526" s="3" t="n">
        <f aca="false">IF(K526="Yes",1,0)</f>
        <v>1</v>
      </c>
    </row>
    <row r="527" customFormat="false" ht="15" hidden="false" customHeight="false" outlineLevel="0" collapsed="false">
      <c r="A527" s="0" t="s">
        <v>1102</v>
      </c>
      <c r="B527" s="0" t="s">
        <v>26</v>
      </c>
      <c r="C527" s="2" t="s">
        <v>245</v>
      </c>
      <c r="D527" s="2" t="s">
        <v>291</v>
      </c>
      <c r="E527" s="3" t="s">
        <v>34</v>
      </c>
      <c r="F527" s="3" t="s">
        <v>29</v>
      </c>
      <c r="G527" s="0" t="n">
        <v>1849</v>
      </c>
      <c r="H527" s="4" t="n">
        <v>28.25</v>
      </c>
      <c r="I527" s="4" t="n">
        <v>27.53</v>
      </c>
      <c r="J527" s="0" t="n">
        <v>271</v>
      </c>
      <c r="K527" s="3" t="s">
        <v>24</v>
      </c>
      <c r="L527" s="3" t="n">
        <f aca="false">IF(D527="","",IF(D527-C527&lt;0,"",D527-C527))</f>
        <v>15</v>
      </c>
      <c r="M527" s="4" t="n">
        <f aca="false">G527*I527</f>
        <v>50902.97</v>
      </c>
      <c r="N527" s="5" t="n">
        <f aca="false">IF(J527="","",J527/G527*100)</f>
        <v>14.6565711195241</v>
      </c>
      <c r="O527" s="5" t="n">
        <f aca="false">(H527-I527)/H527*100</f>
        <v>2.54867256637168</v>
      </c>
      <c r="P527" s="3" t="n">
        <f aca="false">IF(OR(F527="Delivered",F527="Partially Delivered"),1,0)</f>
        <v>1</v>
      </c>
      <c r="Q527" s="3" t="n">
        <f aca="false">IF(F527="Cancelled",1,0)</f>
        <v>0</v>
      </c>
      <c r="R527" s="3" t="n">
        <f aca="false">IF(K527="Yes",1,0)</f>
        <v>1</v>
      </c>
    </row>
    <row r="528" customFormat="false" ht="15" hidden="false" customHeight="false" outlineLevel="0" collapsed="false">
      <c r="A528" s="0" t="s">
        <v>1103</v>
      </c>
      <c r="B528" s="0" t="s">
        <v>36</v>
      </c>
      <c r="C528" s="2" t="s">
        <v>1104</v>
      </c>
      <c r="D528" s="2"/>
      <c r="E528" s="3" t="s">
        <v>39</v>
      </c>
      <c r="F528" s="3" t="s">
        <v>29</v>
      </c>
      <c r="G528" s="0" t="n">
        <v>561</v>
      </c>
      <c r="H528" s="4" t="n">
        <v>35.54</v>
      </c>
      <c r="I528" s="4" t="n">
        <v>30.99</v>
      </c>
      <c r="J528" s="0" t="n">
        <v>68</v>
      </c>
      <c r="K528" s="3" t="s">
        <v>44</v>
      </c>
      <c r="L528" s="0" t="str">
        <f aca="false">IF(D528="","",IF(D528-C528&lt;0,"",D528-C528))</f>
        <v/>
      </c>
      <c r="M528" s="4" t="n">
        <f aca="false">G528*I528</f>
        <v>17385.39</v>
      </c>
      <c r="N528" s="5" t="n">
        <f aca="false">IF(J528="","",J528/G528*100)</f>
        <v>12.1212121212121</v>
      </c>
      <c r="O528" s="5" t="n">
        <f aca="false">(H528-I528)/H528*100</f>
        <v>12.8024760832864</v>
      </c>
      <c r="P528" s="3" t="n">
        <f aca="false">IF(OR(F528="Delivered",F528="Partially Delivered"),1,0)</f>
        <v>1</v>
      </c>
      <c r="Q528" s="3" t="n">
        <f aca="false">IF(F528="Cancelled",1,0)</f>
        <v>0</v>
      </c>
      <c r="R528" s="3" t="n">
        <f aca="false">IF(K528="Yes",1,0)</f>
        <v>0</v>
      </c>
    </row>
    <row r="529" customFormat="false" ht="15" hidden="false" customHeight="false" outlineLevel="0" collapsed="false">
      <c r="A529" s="0" t="s">
        <v>1105</v>
      </c>
      <c r="B529" s="0" t="s">
        <v>31</v>
      </c>
      <c r="C529" s="2" t="s">
        <v>1106</v>
      </c>
      <c r="D529" s="2" t="s">
        <v>650</v>
      </c>
      <c r="E529" s="3" t="s">
        <v>71</v>
      </c>
      <c r="F529" s="3" t="s">
        <v>29</v>
      </c>
      <c r="G529" s="0" t="n">
        <v>449</v>
      </c>
      <c r="H529" s="4" t="n">
        <v>12.35</v>
      </c>
      <c r="I529" s="4" t="n">
        <v>10.67</v>
      </c>
      <c r="J529" s="0" t="n">
        <v>29</v>
      </c>
      <c r="K529" s="3" t="s">
        <v>24</v>
      </c>
      <c r="L529" s="3" t="n">
        <f aca="false">IF(D529="","",IF(D529-C529&lt;0,"",D529-C529))</f>
        <v>6</v>
      </c>
      <c r="M529" s="4" t="n">
        <f aca="false">G529*I529</f>
        <v>4790.83</v>
      </c>
      <c r="N529" s="5" t="n">
        <f aca="false">IF(J529="","",J529/G529*100)</f>
        <v>6.45879732739421</v>
      </c>
      <c r="O529" s="5" t="n">
        <f aca="false">(H529-I529)/H529*100</f>
        <v>13.6032388663968</v>
      </c>
      <c r="P529" s="3" t="n">
        <f aca="false">IF(OR(F529="Delivered",F529="Partially Delivered"),1,0)</f>
        <v>1</v>
      </c>
      <c r="Q529" s="3" t="n">
        <f aca="false">IF(F529="Cancelled",1,0)</f>
        <v>0</v>
      </c>
      <c r="R529" s="3" t="n">
        <f aca="false">IF(K529="Yes",1,0)</f>
        <v>1</v>
      </c>
    </row>
    <row r="530" customFormat="false" ht="15" hidden="false" customHeight="false" outlineLevel="0" collapsed="false">
      <c r="A530" s="0" t="s">
        <v>1107</v>
      </c>
      <c r="B530" s="0" t="s">
        <v>36</v>
      </c>
      <c r="C530" s="2" t="s">
        <v>647</v>
      </c>
      <c r="D530" s="2" t="s">
        <v>1074</v>
      </c>
      <c r="E530" s="3" t="s">
        <v>22</v>
      </c>
      <c r="F530" s="3" t="s">
        <v>29</v>
      </c>
      <c r="G530" s="0" t="n">
        <v>703</v>
      </c>
      <c r="H530" s="4" t="n">
        <v>98.75</v>
      </c>
      <c r="I530" s="4" t="n">
        <v>86.78</v>
      </c>
      <c r="J530" s="0" t="n">
        <v>59</v>
      </c>
      <c r="K530" s="3" t="s">
        <v>24</v>
      </c>
      <c r="L530" s="3" t="n">
        <f aca="false">IF(D530="","",IF(D530-C530&lt;0,"",D530-C530))</f>
        <v>3</v>
      </c>
      <c r="M530" s="4" t="n">
        <f aca="false">G530*I530</f>
        <v>61006.34</v>
      </c>
      <c r="N530" s="5" t="n">
        <f aca="false">IF(J530="","",J530/G530*100)</f>
        <v>8.39260312944523</v>
      </c>
      <c r="O530" s="5" t="n">
        <f aca="false">(H530-I530)/H530*100</f>
        <v>12.1215189873418</v>
      </c>
      <c r="P530" s="3" t="n">
        <f aca="false">IF(OR(F530="Delivered",F530="Partially Delivered"),1,0)</f>
        <v>1</v>
      </c>
      <c r="Q530" s="3" t="n">
        <f aca="false">IF(F530="Cancelled",1,0)</f>
        <v>0</v>
      </c>
      <c r="R530" s="3" t="n">
        <f aca="false">IF(K530="Yes",1,0)</f>
        <v>1</v>
      </c>
    </row>
    <row r="531" customFormat="false" ht="15" hidden="false" customHeight="false" outlineLevel="0" collapsed="false">
      <c r="A531" s="0" t="s">
        <v>1108</v>
      </c>
      <c r="B531" s="0" t="s">
        <v>31</v>
      </c>
      <c r="C531" s="2" t="s">
        <v>204</v>
      </c>
      <c r="D531" s="2" t="s">
        <v>180</v>
      </c>
      <c r="E531" s="3" t="s">
        <v>71</v>
      </c>
      <c r="F531" s="3" t="s">
        <v>29</v>
      </c>
      <c r="G531" s="0" t="n">
        <v>1021</v>
      </c>
      <c r="H531" s="4" t="n">
        <v>20.8</v>
      </c>
      <c r="I531" s="4" t="n">
        <v>18.23</v>
      </c>
      <c r="J531" s="0" t="n">
        <v>37</v>
      </c>
      <c r="K531" s="3" t="s">
        <v>24</v>
      </c>
      <c r="L531" s="3" t="n">
        <f aca="false">IF(D531="","",IF(D531-C531&lt;0,"",D531-C531))</f>
        <v>15</v>
      </c>
      <c r="M531" s="4" t="n">
        <f aca="false">G531*I531</f>
        <v>18612.83</v>
      </c>
      <c r="N531" s="5" t="n">
        <f aca="false">IF(J531="","",J531/G531*100)</f>
        <v>3.62389813907933</v>
      </c>
      <c r="O531" s="5" t="n">
        <f aca="false">(H531-I531)/H531*100</f>
        <v>12.3557692307692</v>
      </c>
      <c r="P531" s="3" t="n">
        <f aca="false">IF(OR(F531="Delivered",F531="Partially Delivered"),1,0)</f>
        <v>1</v>
      </c>
      <c r="Q531" s="3" t="n">
        <f aca="false">IF(F531="Cancelled",1,0)</f>
        <v>0</v>
      </c>
      <c r="R531" s="3" t="n">
        <f aca="false">IF(K531="Yes",1,0)</f>
        <v>1</v>
      </c>
    </row>
    <row r="532" customFormat="false" ht="15" hidden="false" customHeight="false" outlineLevel="0" collapsed="false">
      <c r="A532" s="0" t="s">
        <v>1109</v>
      </c>
      <c r="B532" s="0" t="s">
        <v>36</v>
      </c>
      <c r="C532" s="2" t="s">
        <v>211</v>
      </c>
      <c r="D532" s="2" t="s">
        <v>551</v>
      </c>
      <c r="E532" s="3" t="s">
        <v>22</v>
      </c>
      <c r="F532" s="3" t="s">
        <v>29</v>
      </c>
      <c r="G532" s="0" t="n">
        <v>1956</v>
      </c>
      <c r="H532" s="4" t="n">
        <v>68.69</v>
      </c>
      <c r="I532" s="4" t="n">
        <v>65.09</v>
      </c>
      <c r="K532" s="3" t="s">
        <v>24</v>
      </c>
      <c r="L532" s="3" t="n">
        <f aca="false">IF(D532="","",IF(D532-C532&lt;0,"",D532-C532))</f>
        <v>7</v>
      </c>
      <c r="M532" s="4" t="n">
        <f aca="false">G532*I532</f>
        <v>127316.04</v>
      </c>
      <c r="N532" s="5" t="str">
        <f aca="false">IF(J532="","",J532/G532*100)</f>
        <v/>
      </c>
      <c r="O532" s="5" t="n">
        <f aca="false">(H532-I532)/H532*100</f>
        <v>5.24093754549424</v>
      </c>
      <c r="P532" s="3" t="n">
        <f aca="false">IF(OR(F532="Delivered",F532="Partially Delivered"),1,0)</f>
        <v>1</v>
      </c>
      <c r="Q532" s="3" t="n">
        <f aca="false">IF(F532="Cancelled",1,0)</f>
        <v>0</v>
      </c>
      <c r="R532" s="3" t="n">
        <f aca="false">IF(K532="Yes",1,0)</f>
        <v>1</v>
      </c>
    </row>
    <row r="533" customFormat="false" ht="15" hidden="false" customHeight="false" outlineLevel="0" collapsed="false">
      <c r="A533" s="0" t="s">
        <v>1110</v>
      </c>
      <c r="B533" s="0" t="s">
        <v>26</v>
      </c>
      <c r="C533" s="2" t="s">
        <v>606</v>
      </c>
      <c r="D533" s="2" t="s">
        <v>1111</v>
      </c>
      <c r="E533" s="3" t="s">
        <v>22</v>
      </c>
      <c r="F533" s="3" t="s">
        <v>58</v>
      </c>
      <c r="G533" s="0" t="n">
        <v>520</v>
      </c>
      <c r="H533" s="4" t="n">
        <v>36.57</v>
      </c>
      <c r="I533" s="4" t="n">
        <v>34.78</v>
      </c>
      <c r="J533" s="0" t="n">
        <v>67</v>
      </c>
      <c r="K533" s="3" t="s">
        <v>44</v>
      </c>
      <c r="L533" s="3" t="n">
        <f aca="false">IF(D533="","",IF(D533-C533&lt;0,"",D533-C533))</f>
        <v>7</v>
      </c>
      <c r="M533" s="4" t="n">
        <f aca="false">G533*I533</f>
        <v>18085.6</v>
      </c>
      <c r="N533" s="5" t="n">
        <f aca="false">IF(J533="","",J533/G533*100)</f>
        <v>12.8846153846154</v>
      </c>
      <c r="O533" s="5" t="n">
        <f aca="false">(H533-I533)/H533*100</f>
        <v>4.8947224500957</v>
      </c>
      <c r="P533" s="3" t="n">
        <f aca="false">IF(OR(F533="Delivered",F533="Partially Delivered"),1,0)</f>
        <v>1</v>
      </c>
      <c r="Q533" s="3" t="n">
        <f aca="false">IF(F533="Cancelled",1,0)</f>
        <v>0</v>
      </c>
      <c r="R533" s="3" t="n">
        <f aca="false">IF(K533="Yes",1,0)</f>
        <v>0</v>
      </c>
    </row>
    <row r="534" customFormat="false" ht="15" hidden="false" customHeight="false" outlineLevel="0" collapsed="false">
      <c r="A534" s="0" t="s">
        <v>1112</v>
      </c>
      <c r="B534" s="0" t="s">
        <v>26</v>
      </c>
      <c r="C534" s="2" t="s">
        <v>190</v>
      </c>
      <c r="D534" s="2" t="s">
        <v>921</v>
      </c>
      <c r="E534" s="3" t="s">
        <v>34</v>
      </c>
      <c r="F534" s="3" t="s">
        <v>29</v>
      </c>
      <c r="G534" s="0" t="n">
        <v>1216</v>
      </c>
      <c r="H534" s="4" t="n">
        <v>66.16</v>
      </c>
      <c r="I534" s="4" t="n">
        <v>63</v>
      </c>
      <c r="J534" s="0" t="n">
        <v>179</v>
      </c>
      <c r="K534" s="3" t="s">
        <v>44</v>
      </c>
      <c r="L534" s="3" t="n">
        <f aca="false">IF(D534="","",IF(D534-C534&lt;0,"",D534-C534))</f>
        <v>11</v>
      </c>
      <c r="M534" s="4" t="n">
        <f aca="false">G534*I534</f>
        <v>76608</v>
      </c>
      <c r="N534" s="5" t="n">
        <f aca="false">IF(J534="","",J534/G534*100)</f>
        <v>14.7203947368421</v>
      </c>
      <c r="O534" s="5" t="n">
        <f aca="false">(H534-I534)/H534*100</f>
        <v>4.77629987908101</v>
      </c>
      <c r="P534" s="3" t="n">
        <f aca="false">IF(OR(F534="Delivered",F534="Partially Delivered"),1,0)</f>
        <v>1</v>
      </c>
      <c r="Q534" s="3" t="n">
        <f aca="false">IF(F534="Cancelled",1,0)</f>
        <v>0</v>
      </c>
      <c r="R534" s="3" t="n">
        <f aca="false">IF(K534="Yes",1,0)</f>
        <v>0</v>
      </c>
    </row>
    <row r="535" customFormat="false" ht="15" hidden="false" customHeight="false" outlineLevel="0" collapsed="false">
      <c r="A535" s="0" t="s">
        <v>1113</v>
      </c>
      <c r="B535" s="0" t="s">
        <v>19</v>
      </c>
      <c r="C535" s="2" t="s">
        <v>764</v>
      </c>
      <c r="D535" s="2"/>
      <c r="E535" s="3" t="s">
        <v>43</v>
      </c>
      <c r="F535" s="3" t="s">
        <v>29</v>
      </c>
      <c r="G535" s="0" t="n">
        <v>1165</v>
      </c>
      <c r="H535" s="4" t="n">
        <v>72.06</v>
      </c>
      <c r="I535" s="4" t="n">
        <v>63.93</v>
      </c>
      <c r="K535" s="3" t="s">
        <v>24</v>
      </c>
      <c r="L535" s="0" t="str">
        <f aca="false">IF(D535="","",IF(D535-C535&lt;0,"",D535-C535))</f>
        <v/>
      </c>
      <c r="M535" s="4" t="n">
        <f aca="false">G535*I535</f>
        <v>74478.45</v>
      </c>
      <c r="N535" s="5" t="str">
        <f aca="false">IF(J535="","",J535/G535*100)</f>
        <v/>
      </c>
      <c r="O535" s="5" t="n">
        <f aca="false">(H535-I535)/H535*100</f>
        <v>11.2822647793505</v>
      </c>
      <c r="P535" s="3" t="n">
        <f aca="false">IF(OR(F535="Delivered",F535="Partially Delivered"),1,0)</f>
        <v>1</v>
      </c>
      <c r="Q535" s="3" t="n">
        <f aca="false">IF(F535="Cancelled",1,0)</f>
        <v>0</v>
      </c>
      <c r="R535" s="3" t="n">
        <f aca="false">IF(K535="Yes",1,0)</f>
        <v>1</v>
      </c>
    </row>
    <row r="536" customFormat="false" ht="15" hidden="false" customHeight="false" outlineLevel="0" collapsed="false">
      <c r="A536" s="0" t="s">
        <v>1114</v>
      </c>
      <c r="B536" s="0" t="s">
        <v>26</v>
      </c>
      <c r="C536" s="2" t="s">
        <v>896</v>
      </c>
      <c r="D536" s="2" t="s">
        <v>552</v>
      </c>
      <c r="E536" s="3" t="s">
        <v>39</v>
      </c>
      <c r="F536" s="3" t="s">
        <v>62</v>
      </c>
      <c r="G536" s="0" t="n">
        <v>1427</v>
      </c>
      <c r="H536" s="4" t="n">
        <v>93.99</v>
      </c>
      <c r="I536" s="4" t="n">
        <v>83.6</v>
      </c>
      <c r="J536" s="0" t="n">
        <v>213</v>
      </c>
      <c r="K536" s="3" t="s">
        <v>24</v>
      </c>
      <c r="L536" s="3" t="n">
        <f aca="false">IF(D536="","",IF(D536-C536&lt;0,"",D536-C536))</f>
        <v>18</v>
      </c>
      <c r="M536" s="4" t="n">
        <f aca="false">G536*I536</f>
        <v>119297.2</v>
      </c>
      <c r="N536" s="5" t="n">
        <f aca="false">IF(J536="","",J536/G536*100)</f>
        <v>14.9264190609671</v>
      </c>
      <c r="O536" s="5" t="n">
        <f aca="false">(H536-I536)/H536*100</f>
        <v>11.0543674859028</v>
      </c>
      <c r="P536" s="3" t="n">
        <f aca="false">IF(OR(F536="Delivered",F536="Partially Delivered"),1,0)</f>
        <v>0</v>
      </c>
      <c r="Q536" s="3" t="n">
        <f aca="false">IF(F536="Cancelled",1,0)</f>
        <v>0</v>
      </c>
      <c r="R536" s="3" t="n">
        <f aca="false">IF(K536="Yes",1,0)</f>
        <v>1</v>
      </c>
    </row>
    <row r="537" customFormat="false" ht="15" hidden="false" customHeight="false" outlineLevel="0" collapsed="false">
      <c r="A537" s="0" t="s">
        <v>1115</v>
      </c>
      <c r="B537" s="0" t="s">
        <v>46</v>
      </c>
      <c r="C537" s="2" t="s">
        <v>175</v>
      </c>
      <c r="D537" s="2" t="s">
        <v>1116</v>
      </c>
      <c r="E537" s="3" t="s">
        <v>71</v>
      </c>
      <c r="F537" s="3" t="s">
        <v>29</v>
      </c>
      <c r="G537" s="0" t="n">
        <v>883</v>
      </c>
      <c r="H537" s="4" t="n">
        <v>29.15</v>
      </c>
      <c r="I537" s="4" t="n">
        <v>25.75</v>
      </c>
      <c r="J537" s="0" t="n">
        <v>14</v>
      </c>
      <c r="K537" s="3" t="s">
        <v>24</v>
      </c>
      <c r="L537" s="3" t="n">
        <f aca="false">IF(D537="","",IF(D537-C537&lt;0,"",D537-C537))</f>
        <v>2</v>
      </c>
      <c r="M537" s="4" t="n">
        <f aca="false">G537*I537</f>
        <v>22737.25</v>
      </c>
      <c r="N537" s="5" t="n">
        <f aca="false">IF(J537="","",J537/G537*100)</f>
        <v>1.58550396375991</v>
      </c>
      <c r="O537" s="5" t="n">
        <f aca="false">(H537-I537)/H537*100</f>
        <v>11.663807890223</v>
      </c>
      <c r="P537" s="3" t="n">
        <f aca="false">IF(OR(F537="Delivered",F537="Partially Delivered"),1,0)</f>
        <v>1</v>
      </c>
      <c r="Q537" s="3" t="n">
        <f aca="false">IF(F537="Cancelled",1,0)</f>
        <v>0</v>
      </c>
      <c r="R537" s="3" t="n">
        <f aca="false">IF(K537="Yes",1,0)</f>
        <v>1</v>
      </c>
    </row>
    <row r="538" customFormat="false" ht="15" hidden="false" customHeight="false" outlineLevel="0" collapsed="false">
      <c r="A538" s="0" t="s">
        <v>1117</v>
      </c>
      <c r="B538" s="0" t="s">
        <v>26</v>
      </c>
      <c r="C538" s="2" t="s">
        <v>832</v>
      </c>
      <c r="D538" s="2" t="s">
        <v>495</v>
      </c>
      <c r="E538" s="3" t="s">
        <v>39</v>
      </c>
      <c r="F538" s="3" t="s">
        <v>58</v>
      </c>
      <c r="G538" s="0" t="n">
        <v>1873</v>
      </c>
      <c r="H538" s="4" t="n">
        <v>11.54</v>
      </c>
      <c r="I538" s="4" t="n">
        <v>9.89</v>
      </c>
      <c r="J538" s="0" t="n">
        <v>284</v>
      </c>
      <c r="K538" s="3" t="s">
        <v>44</v>
      </c>
      <c r="L538" s="3" t="n">
        <f aca="false">IF(D538="","",IF(D538-C538&lt;0,"",D538-C538))</f>
        <v>7</v>
      </c>
      <c r="M538" s="4" t="n">
        <f aca="false">G538*I538</f>
        <v>18523.97</v>
      </c>
      <c r="N538" s="5" t="n">
        <f aca="false">IF(J538="","",J538/G538*100)</f>
        <v>15.1628403630539</v>
      </c>
      <c r="O538" s="5" t="n">
        <f aca="false">(H538-I538)/H538*100</f>
        <v>14.2980935875217</v>
      </c>
      <c r="P538" s="3" t="n">
        <f aca="false">IF(OR(F538="Delivered",F538="Partially Delivered"),1,0)</f>
        <v>1</v>
      </c>
      <c r="Q538" s="3" t="n">
        <f aca="false">IF(F538="Cancelled",1,0)</f>
        <v>0</v>
      </c>
      <c r="R538" s="3" t="n">
        <f aca="false">IF(K538="Yes",1,0)</f>
        <v>0</v>
      </c>
    </row>
    <row r="539" customFormat="false" ht="15" hidden="false" customHeight="false" outlineLevel="0" collapsed="false">
      <c r="A539" s="0" t="s">
        <v>1118</v>
      </c>
      <c r="B539" s="0" t="s">
        <v>46</v>
      </c>
      <c r="C539" s="2" t="s">
        <v>448</v>
      </c>
      <c r="D539" s="2" t="s">
        <v>366</v>
      </c>
      <c r="E539" s="3" t="s">
        <v>22</v>
      </c>
      <c r="F539" s="3" t="s">
        <v>29</v>
      </c>
      <c r="G539" s="0" t="n">
        <v>776</v>
      </c>
      <c r="H539" s="4" t="n">
        <v>24.22</v>
      </c>
      <c r="I539" s="4" t="n">
        <v>22.53</v>
      </c>
      <c r="J539" s="0" t="n">
        <v>27</v>
      </c>
      <c r="K539" s="3" t="s">
        <v>24</v>
      </c>
      <c r="L539" s="3" t="n">
        <f aca="false">IF(D539="","",IF(D539-C539&lt;0,"",D539-C539))</f>
        <v>2</v>
      </c>
      <c r="M539" s="4" t="n">
        <f aca="false">G539*I539</f>
        <v>17483.28</v>
      </c>
      <c r="N539" s="5" t="n">
        <f aca="false">IF(J539="","",J539/G539*100)</f>
        <v>3.47938144329897</v>
      </c>
      <c r="O539" s="5" t="n">
        <f aca="false">(H539-I539)/H539*100</f>
        <v>6.9777043765483</v>
      </c>
      <c r="P539" s="3" t="n">
        <f aca="false">IF(OR(F539="Delivered",F539="Partially Delivered"),1,0)</f>
        <v>1</v>
      </c>
      <c r="Q539" s="3" t="n">
        <f aca="false">IF(F539="Cancelled",1,0)</f>
        <v>0</v>
      </c>
      <c r="R539" s="3" t="n">
        <f aca="false">IF(K539="Yes",1,0)</f>
        <v>1</v>
      </c>
    </row>
    <row r="540" customFormat="false" ht="15" hidden="false" customHeight="false" outlineLevel="0" collapsed="false">
      <c r="A540" s="0" t="s">
        <v>1119</v>
      </c>
      <c r="B540" s="0" t="s">
        <v>26</v>
      </c>
      <c r="C540" s="2" t="s">
        <v>429</v>
      </c>
      <c r="D540" s="2" t="s">
        <v>837</v>
      </c>
      <c r="E540" s="3" t="s">
        <v>71</v>
      </c>
      <c r="F540" s="3" t="s">
        <v>29</v>
      </c>
      <c r="G540" s="0" t="n">
        <v>903</v>
      </c>
      <c r="H540" s="4" t="n">
        <v>95.55</v>
      </c>
      <c r="I540" s="4" t="n">
        <v>92.45</v>
      </c>
      <c r="J540" s="0" t="n">
        <v>149</v>
      </c>
      <c r="K540" s="3" t="s">
        <v>44</v>
      </c>
      <c r="L540" s="3" t="n">
        <f aca="false">IF(D540="","",IF(D540-C540&lt;0,"",D540-C540))</f>
        <v>11</v>
      </c>
      <c r="M540" s="4" t="n">
        <f aca="false">G540*I540</f>
        <v>83482.35</v>
      </c>
      <c r="N540" s="5" t="n">
        <f aca="false">IF(J540="","",J540/G540*100)</f>
        <v>16.500553709856</v>
      </c>
      <c r="O540" s="5" t="n">
        <f aca="false">(H540-I540)/H540*100</f>
        <v>3.2443746729461</v>
      </c>
      <c r="P540" s="3" t="n">
        <f aca="false">IF(OR(F540="Delivered",F540="Partially Delivered"),1,0)</f>
        <v>1</v>
      </c>
      <c r="Q540" s="3" t="n">
        <f aca="false">IF(F540="Cancelled",1,0)</f>
        <v>0</v>
      </c>
      <c r="R540" s="3" t="n">
        <f aca="false">IF(K540="Yes",1,0)</f>
        <v>0</v>
      </c>
    </row>
    <row r="541" customFormat="false" ht="15" hidden="false" customHeight="false" outlineLevel="0" collapsed="false">
      <c r="A541" s="0" t="s">
        <v>1120</v>
      </c>
      <c r="B541" s="0" t="s">
        <v>46</v>
      </c>
      <c r="C541" s="2" t="s">
        <v>987</v>
      </c>
      <c r="D541" s="2" t="s">
        <v>521</v>
      </c>
      <c r="E541" s="3" t="s">
        <v>71</v>
      </c>
      <c r="F541" s="3" t="s">
        <v>29</v>
      </c>
      <c r="G541" s="0" t="n">
        <v>100</v>
      </c>
      <c r="H541" s="4" t="n">
        <v>98.4</v>
      </c>
      <c r="I541" s="4" t="n">
        <v>85.76</v>
      </c>
      <c r="J541" s="0" t="n">
        <v>3</v>
      </c>
      <c r="K541" s="3" t="s">
        <v>24</v>
      </c>
      <c r="L541" s="3" t="n">
        <f aca="false">IF(D541="","",IF(D541-C541&lt;0,"",D541-C541))</f>
        <v>12</v>
      </c>
      <c r="M541" s="4" t="n">
        <f aca="false">G541*I541</f>
        <v>8576</v>
      </c>
      <c r="N541" s="5" t="n">
        <f aca="false">IF(J541="","",J541/G541*100)</f>
        <v>3</v>
      </c>
      <c r="O541" s="5" t="n">
        <f aca="false">(H541-I541)/H541*100</f>
        <v>12.8455284552846</v>
      </c>
      <c r="P541" s="3" t="n">
        <f aca="false">IF(OR(F541="Delivered",F541="Partially Delivered"),1,0)</f>
        <v>1</v>
      </c>
      <c r="Q541" s="3" t="n">
        <f aca="false">IF(F541="Cancelled",1,0)</f>
        <v>0</v>
      </c>
      <c r="R541" s="3" t="n">
        <f aca="false">IF(K541="Yes",1,0)</f>
        <v>1</v>
      </c>
    </row>
    <row r="542" customFormat="false" ht="15" hidden="false" customHeight="false" outlineLevel="0" collapsed="false">
      <c r="A542" s="0" t="s">
        <v>1121</v>
      </c>
      <c r="B542" s="0" t="s">
        <v>46</v>
      </c>
      <c r="C542" s="2" t="s">
        <v>1122</v>
      </c>
      <c r="D542" s="2" t="s">
        <v>1123</v>
      </c>
      <c r="E542" s="3" t="s">
        <v>22</v>
      </c>
      <c r="F542" s="3" t="s">
        <v>29</v>
      </c>
      <c r="G542" s="0" t="n">
        <v>1738</v>
      </c>
      <c r="H542" s="4" t="n">
        <v>67.91</v>
      </c>
      <c r="I542" s="4" t="n">
        <v>61.15</v>
      </c>
      <c r="K542" s="3" t="s">
        <v>24</v>
      </c>
      <c r="L542" s="3" t="n">
        <f aca="false">IF(D542="","",IF(D542-C542&lt;0,"",D542-C542))</f>
        <v>13</v>
      </c>
      <c r="M542" s="4" t="n">
        <f aca="false">G542*I542</f>
        <v>106278.7</v>
      </c>
      <c r="N542" s="5" t="str">
        <f aca="false">IF(J542="","",J542/G542*100)</f>
        <v/>
      </c>
      <c r="O542" s="5" t="n">
        <f aca="false">(H542-I542)/H542*100</f>
        <v>9.95435134737152</v>
      </c>
      <c r="P542" s="3" t="n">
        <f aca="false">IF(OR(F542="Delivered",F542="Partially Delivered"),1,0)</f>
        <v>1</v>
      </c>
      <c r="Q542" s="3" t="n">
        <f aca="false">IF(F542="Cancelled",1,0)</f>
        <v>0</v>
      </c>
      <c r="R542" s="3" t="n">
        <f aca="false">IF(K542="Yes",1,0)</f>
        <v>1</v>
      </c>
    </row>
    <row r="543" customFormat="false" ht="15" hidden="false" customHeight="false" outlineLevel="0" collapsed="false">
      <c r="A543" s="0" t="s">
        <v>1124</v>
      </c>
      <c r="B543" s="0" t="s">
        <v>26</v>
      </c>
      <c r="C543" s="2" t="s">
        <v>1125</v>
      </c>
      <c r="D543" s="2" t="s">
        <v>294</v>
      </c>
      <c r="E543" s="3" t="s">
        <v>39</v>
      </c>
      <c r="F543" s="3" t="s">
        <v>29</v>
      </c>
      <c r="G543" s="0" t="n">
        <v>1771</v>
      </c>
      <c r="H543" s="4" t="n">
        <v>67.57</v>
      </c>
      <c r="I543" s="4" t="n">
        <v>61.48</v>
      </c>
      <c r="J543" s="0" t="n">
        <v>280</v>
      </c>
      <c r="K543" s="3" t="s">
        <v>44</v>
      </c>
      <c r="L543" s="3" t="n">
        <f aca="false">IF(D543="","",IF(D543-C543&lt;0,"",D543-C543))</f>
        <v>13</v>
      </c>
      <c r="M543" s="4" t="n">
        <f aca="false">G543*I543</f>
        <v>108881.08</v>
      </c>
      <c r="N543" s="5" t="n">
        <f aca="false">IF(J543="","",J543/G543*100)</f>
        <v>15.8102766798419</v>
      </c>
      <c r="O543" s="5" t="n">
        <f aca="false">(H543-I543)/H543*100</f>
        <v>9.01287553648068</v>
      </c>
      <c r="P543" s="3" t="n">
        <f aca="false">IF(OR(F543="Delivered",F543="Partially Delivered"),1,0)</f>
        <v>1</v>
      </c>
      <c r="Q543" s="3" t="n">
        <f aca="false">IF(F543="Cancelled",1,0)</f>
        <v>0</v>
      </c>
      <c r="R543" s="3" t="n">
        <f aca="false">IF(K543="Yes",1,0)</f>
        <v>0</v>
      </c>
    </row>
    <row r="544" customFormat="false" ht="15" hidden="false" customHeight="false" outlineLevel="0" collapsed="false">
      <c r="A544" s="0" t="s">
        <v>1126</v>
      </c>
      <c r="B544" s="0" t="s">
        <v>46</v>
      </c>
      <c r="C544" s="2" t="s">
        <v>673</v>
      </c>
      <c r="D544" s="2" t="s">
        <v>1122</v>
      </c>
      <c r="E544" s="3" t="s">
        <v>71</v>
      </c>
      <c r="F544" s="3" t="s">
        <v>29</v>
      </c>
      <c r="G544" s="0" t="n">
        <v>624</v>
      </c>
      <c r="H544" s="4" t="n">
        <v>74.39</v>
      </c>
      <c r="I544" s="4" t="n">
        <v>66.3</v>
      </c>
      <c r="J544" s="0" t="n">
        <v>18</v>
      </c>
      <c r="K544" s="3" t="s">
        <v>44</v>
      </c>
      <c r="L544" s="3" t="n">
        <f aca="false">IF(D544="","",IF(D544-C544&lt;0,"",D544-C544))</f>
        <v>6</v>
      </c>
      <c r="M544" s="4" t="n">
        <f aca="false">G544*I544</f>
        <v>41371.2</v>
      </c>
      <c r="N544" s="5" t="n">
        <f aca="false">IF(J544="","",J544/G544*100)</f>
        <v>2.88461538461538</v>
      </c>
      <c r="O544" s="5" t="n">
        <f aca="false">(H544-I544)/H544*100</f>
        <v>10.8751176233365</v>
      </c>
      <c r="P544" s="3" t="n">
        <f aca="false">IF(OR(F544="Delivered",F544="Partially Delivered"),1,0)</f>
        <v>1</v>
      </c>
      <c r="Q544" s="3" t="n">
        <f aca="false">IF(F544="Cancelled",1,0)</f>
        <v>0</v>
      </c>
      <c r="R544" s="3" t="n">
        <f aca="false">IF(K544="Yes",1,0)</f>
        <v>0</v>
      </c>
    </row>
    <row r="545" customFormat="false" ht="15" hidden="false" customHeight="false" outlineLevel="0" collapsed="false">
      <c r="A545" s="0" t="s">
        <v>1127</v>
      </c>
      <c r="B545" s="0" t="s">
        <v>19</v>
      </c>
      <c r="C545" s="2" t="s">
        <v>743</v>
      </c>
      <c r="D545" s="2" t="s">
        <v>1128</v>
      </c>
      <c r="E545" s="3" t="s">
        <v>39</v>
      </c>
      <c r="F545" s="3" t="s">
        <v>58</v>
      </c>
      <c r="G545" s="0" t="n">
        <v>1263</v>
      </c>
      <c r="H545" s="4" t="n">
        <v>28.75</v>
      </c>
      <c r="I545" s="4" t="n">
        <v>27.1</v>
      </c>
      <c r="J545" s="0" t="n">
        <v>26</v>
      </c>
      <c r="K545" s="3" t="s">
        <v>24</v>
      </c>
      <c r="L545" s="3" t="n">
        <f aca="false">IF(D545="","",IF(D545-C545&lt;0,"",D545-C545))</f>
        <v>16</v>
      </c>
      <c r="M545" s="4" t="n">
        <f aca="false">G545*I545</f>
        <v>34227.3</v>
      </c>
      <c r="N545" s="5" t="n">
        <f aca="false">IF(J545="","",J545/G545*100)</f>
        <v>2.05859065716548</v>
      </c>
      <c r="O545" s="5" t="n">
        <f aca="false">(H545-I545)/H545*100</f>
        <v>5.7391304347826</v>
      </c>
      <c r="P545" s="3" t="n">
        <f aca="false">IF(OR(F545="Delivered",F545="Partially Delivered"),1,0)</f>
        <v>1</v>
      </c>
      <c r="Q545" s="3" t="n">
        <f aca="false">IF(F545="Cancelled",1,0)</f>
        <v>0</v>
      </c>
      <c r="R545" s="3" t="n">
        <f aca="false">IF(K545="Yes",1,0)</f>
        <v>1</v>
      </c>
    </row>
    <row r="546" customFormat="false" ht="15" hidden="false" customHeight="false" outlineLevel="0" collapsed="false">
      <c r="A546" s="0" t="s">
        <v>1129</v>
      </c>
      <c r="B546" s="0" t="s">
        <v>31</v>
      </c>
      <c r="C546" s="2" t="s">
        <v>185</v>
      </c>
      <c r="D546" s="2" t="s">
        <v>547</v>
      </c>
      <c r="E546" s="3" t="s">
        <v>71</v>
      </c>
      <c r="F546" s="3" t="s">
        <v>23</v>
      </c>
      <c r="G546" s="0" t="n">
        <v>1198</v>
      </c>
      <c r="H546" s="4" t="n">
        <v>96.45</v>
      </c>
      <c r="I546" s="4" t="n">
        <v>90.09</v>
      </c>
      <c r="K546" s="3" t="s">
        <v>24</v>
      </c>
      <c r="L546" s="3" t="n">
        <f aca="false">IF(D546="","",IF(D546-C546&lt;0,"",D546-C546))</f>
        <v>17</v>
      </c>
      <c r="M546" s="4" t="n">
        <f aca="false">G546*I546</f>
        <v>107927.82</v>
      </c>
      <c r="N546" s="5" t="str">
        <f aca="false">IF(J546="","",J546/G546*100)</f>
        <v/>
      </c>
      <c r="O546" s="5" t="n">
        <f aca="false">(H546-I546)/H546*100</f>
        <v>6.59409020217729</v>
      </c>
      <c r="P546" s="3" t="n">
        <f aca="false">IF(OR(F546="Delivered",F546="Partially Delivered"),1,0)</f>
        <v>0</v>
      </c>
      <c r="Q546" s="3" t="n">
        <f aca="false">IF(F546="Cancelled",1,0)</f>
        <v>1</v>
      </c>
      <c r="R546" s="3" t="n">
        <f aca="false">IF(K546="Yes",1,0)</f>
        <v>1</v>
      </c>
    </row>
    <row r="547" customFormat="false" ht="15" hidden="false" customHeight="false" outlineLevel="0" collapsed="false">
      <c r="A547" s="0" t="s">
        <v>1130</v>
      </c>
      <c r="B547" s="0" t="s">
        <v>46</v>
      </c>
      <c r="C547" s="2" t="s">
        <v>584</v>
      </c>
      <c r="D547" s="2" t="s">
        <v>61</v>
      </c>
      <c r="E547" s="3" t="s">
        <v>43</v>
      </c>
      <c r="F547" s="3" t="s">
        <v>29</v>
      </c>
      <c r="G547" s="0" t="n">
        <v>199</v>
      </c>
      <c r="H547" s="4" t="n">
        <v>51.98</v>
      </c>
      <c r="I547" s="4" t="n">
        <v>45.64</v>
      </c>
      <c r="K547" s="3" t="s">
        <v>44</v>
      </c>
      <c r="L547" s="3" t="n">
        <f aca="false">IF(D547="","",IF(D547-C547&lt;0,"",D547-C547))</f>
        <v>3</v>
      </c>
      <c r="M547" s="4" t="n">
        <f aca="false">G547*I547</f>
        <v>9082.36</v>
      </c>
      <c r="N547" s="5" t="str">
        <f aca="false">IF(J547="","",J547/G547*100)</f>
        <v/>
      </c>
      <c r="O547" s="5" t="n">
        <f aca="false">(H547-I547)/H547*100</f>
        <v>12.1969988457099</v>
      </c>
      <c r="P547" s="3" t="n">
        <f aca="false">IF(OR(F547="Delivered",F547="Partially Delivered"),1,0)</f>
        <v>1</v>
      </c>
      <c r="Q547" s="3" t="n">
        <f aca="false">IF(F547="Cancelled",1,0)</f>
        <v>0</v>
      </c>
      <c r="R547" s="3" t="n">
        <f aca="false">IF(K547="Yes",1,0)</f>
        <v>0</v>
      </c>
    </row>
    <row r="548" customFormat="false" ht="15" hidden="false" customHeight="false" outlineLevel="0" collapsed="false">
      <c r="A548" s="0" t="s">
        <v>1131</v>
      </c>
      <c r="B548" s="0" t="s">
        <v>46</v>
      </c>
      <c r="C548" s="2" t="s">
        <v>973</v>
      </c>
      <c r="D548" s="2" t="s">
        <v>566</v>
      </c>
      <c r="E548" s="3" t="s">
        <v>34</v>
      </c>
      <c r="F548" s="3" t="s">
        <v>62</v>
      </c>
      <c r="G548" s="0" t="n">
        <v>363</v>
      </c>
      <c r="H548" s="4" t="n">
        <v>45.37</v>
      </c>
      <c r="I548" s="4" t="n">
        <v>38.73</v>
      </c>
      <c r="K548" s="3" t="s">
        <v>24</v>
      </c>
      <c r="L548" s="3" t="n">
        <f aca="false">IF(D548="","",IF(D548-C548&lt;0,"",D548-C548))</f>
        <v>3</v>
      </c>
      <c r="M548" s="4" t="n">
        <f aca="false">G548*I548</f>
        <v>14058.99</v>
      </c>
      <c r="N548" s="5" t="str">
        <f aca="false">IF(J548="","",J548/G548*100)</f>
        <v/>
      </c>
      <c r="O548" s="5" t="n">
        <f aca="false">(H548-I548)/H548*100</f>
        <v>14.6352215120123</v>
      </c>
      <c r="P548" s="3" t="n">
        <f aca="false">IF(OR(F548="Delivered",F548="Partially Delivered"),1,0)</f>
        <v>0</v>
      </c>
      <c r="Q548" s="3" t="n">
        <f aca="false">IF(F548="Cancelled",1,0)</f>
        <v>0</v>
      </c>
      <c r="R548" s="3" t="n">
        <f aca="false">IF(K548="Yes",1,0)</f>
        <v>1</v>
      </c>
    </row>
    <row r="549" customFormat="false" ht="15" hidden="false" customHeight="false" outlineLevel="0" collapsed="false">
      <c r="A549" s="0" t="s">
        <v>1132</v>
      </c>
      <c r="B549" s="0" t="s">
        <v>19</v>
      </c>
      <c r="C549" s="2" t="s">
        <v>198</v>
      </c>
      <c r="D549" s="2" t="s">
        <v>1133</v>
      </c>
      <c r="E549" s="3" t="s">
        <v>22</v>
      </c>
      <c r="F549" s="3" t="s">
        <v>29</v>
      </c>
      <c r="G549" s="0" t="n">
        <v>619</v>
      </c>
      <c r="H549" s="4" t="n">
        <v>58.4</v>
      </c>
      <c r="I549" s="4" t="n">
        <v>51.04</v>
      </c>
      <c r="K549" s="3" t="s">
        <v>24</v>
      </c>
      <c r="L549" s="3" t="n">
        <f aca="false">IF(D549="","",IF(D549-C549&lt;0,"",D549-C549))</f>
        <v>6</v>
      </c>
      <c r="M549" s="4" t="n">
        <f aca="false">G549*I549</f>
        <v>31593.76</v>
      </c>
      <c r="N549" s="5" t="str">
        <f aca="false">IF(J549="","",J549/G549*100)</f>
        <v/>
      </c>
      <c r="O549" s="5" t="n">
        <f aca="false">(H549-I549)/H549*100</f>
        <v>12.6027397260274</v>
      </c>
      <c r="P549" s="3" t="n">
        <f aca="false">IF(OR(F549="Delivered",F549="Partially Delivered"),1,0)</f>
        <v>1</v>
      </c>
      <c r="Q549" s="3" t="n">
        <f aca="false">IF(F549="Cancelled",1,0)</f>
        <v>0</v>
      </c>
      <c r="R549" s="3" t="n">
        <f aca="false">IF(K549="Yes",1,0)</f>
        <v>1</v>
      </c>
    </row>
    <row r="550" customFormat="false" ht="15" hidden="false" customHeight="false" outlineLevel="0" collapsed="false">
      <c r="A550" s="0" t="s">
        <v>1134</v>
      </c>
      <c r="B550" s="0" t="s">
        <v>19</v>
      </c>
      <c r="C550" s="2" t="s">
        <v>1135</v>
      </c>
      <c r="D550" s="2" t="s">
        <v>647</v>
      </c>
      <c r="E550" s="3" t="s">
        <v>34</v>
      </c>
      <c r="F550" s="3" t="s">
        <v>29</v>
      </c>
      <c r="G550" s="0" t="n">
        <v>1415</v>
      </c>
      <c r="H550" s="4" t="n">
        <v>15.22</v>
      </c>
      <c r="I550" s="4" t="n">
        <v>13.56</v>
      </c>
      <c r="J550" s="0" t="n">
        <v>30</v>
      </c>
      <c r="K550" s="3" t="s">
        <v>24</v>
      </c>
      <c r="L550" s="3" t="n">
        <f aca="false">IF(D550="","",IF(D550-C550&lt;0,"",D550-C550))</f>
        <v>11</v>
      </c>
      <c r="M550" s="4" t="n">
        <f aca="false">G550*I550</f>
        <v>19187.4</v>
      </c>
      <c r="N550" s="5" t="n">
        <f aca="false">IF(J550="","",J550/G550*100)</f>
        <v>2.12014134275618</v>
      </c>
      <c r="O550" s="5" t="n">
        <f aca="false">(H550-I550)/H550*100</f>
        <v>10.9067017082786</v>
      </c>
      <c r="P550" s="3" t="n">
        <f aca="false">IF(OR(F550="Delivered",F550="Partially Delivered"),1,0)</f>
        <v>1</v>
      </c>
      <c r="Q550" s="3" t="n">
        <f aca="false">IF(F550="Cancelled",1,0)</f>
        <v>0</v>
      </c>
      <c r="R550" s="3" t="n">
        <f aca="false">IF(K550="Yes",1,0)</f>
        <v>1</v>
      </c>
    </row>
    <row r="551" customFormat="false" ht="15" hidden="false" customHeight="false" outlineLevel="0" collapsed="false">
      <c r="A551" s="0" t="s">
        <v>1136</v>
      </c>
      <c r="B551" s="0" t="s">
        <v>36</v>
      </c>
      <c r="C551" s="2" t="s">
        <v>211</v>
      </c>
      <c r="D551" s="2" t="s">
        <v>787</v>
      </c>
      <c r="E551" s="3" t="s">
        <v>39</v>
      </c>
      <c r="F551" s="3" t="s">
        <v>29</v>
      </c>
      <c r="G551" s="0" t="n">
        <v>354</v>
      </c>
      <c r="H551" s="4" t="n">
        <v>27.71</v>
      </c>
      <c r="I551" s="4" t="n">
        <v>23.87</v>
      </c>
      <c r="J551" s="0" t="n">
        <v>39</v>
      </c>
      <c r="K551" s="3" t="s">
        <v>44</v>
      </c>
      <c r="L551" s="3" t="n">
        <f aca="false">IF(D551="","",IF(D551-C551&lt;0,"",D551-C551))</f>
        <v>11</v>
      </c>
      <c r="M551" s="4" t="n">
        <f aca="false">G551*I551</f>
        <v>8449.98</v>
      </c>
      <c r="N551" s="5" t="n">
        <f aca="false">IF(J551="","",J551/G551*100)</f>
        <v>11.0169491525424</v>
      </c>
      <c r="O551" s="5" t="n">
        <f aca="false">(H551-I551)/H551*100</f>
        <v>13.8578130638759</v>
      </c>
      <c r="P551" s="3" t="n">
        <f aca="false">IF(OR(F551="Delivered",F551="Partially Delivered"),1,0)</f>
        <v>1</v>
      </c>
      <c r="Q551" s="3" t="n">
        <f aca="false">IF(F551="Cancelled",1,0)</f>
        <v>0</v>
      </c>
      <c r="R551" s="3" t="n">
        <f aca="false">IF(K551="Yes",1,0)</f>
        <v>0</v>
      </c>
    </row>
    <row r="552" customFormat="false" ht="15" hidden="false" customHeight="false" outlineLevel="0" collapsed="false">
      <c r="A552" s="0" t="s">
        <v>1137</v>
      </c>
      <c r="B552" s="0" t="s">
        <v>31</v>
      </c>
      <c r="C552" s="2" t="s">
        <v>277</v>
      </c>
      <c r="D552" s="2" t="s">
        <v>1138</v>
      </c>
      <c r="E552" s="3" t="s">
        <v>34</v>
      </c>
      <c r="F552" s="3" t="s">
        <v>29</v>
      </c>
      <c r="G552" s="0" t="n">
        <v>1765</v>
      </c>
      <c r="H552" s="4" t="n">
        <v>81.01</v>
      </c>
      <c r="I552" s="4" t="n">
        <v>78.43</v>
      </c>
      <c r="J552" s="0" t="n">
        <v>78</v>
      </c>
      <c r="K552" s="3" t="s">
        <v>24</v>
      </c>
      <c r="L552" s="3" t="n">
        <f aca="false">IF(D552="","",IF(D552-C552&lt;0,"",D552-C552))</f>
        <v>10</v>
      </c>
      <c r="M552" s="4" t="n">
        <f aca="false">G552*I552</f>
        <v>138428.95</v>
      </c>
      <c r="N552" s="5" t="n">
        <f aca="false">IF(J552="","",J552/G552*100)</f>
        <v>4.41926345609065</v>
      </c>
      <c r="O552" s="5" t="n">
        <f aca="false">(H552-I552)/H552*100</f>
        <v>3.18479200098753</v>
      </c>
      <c r="P552" s="3" t="n">
        <f aca="false">IF(OR(F552="Delivered",F552="Partially Delivered"),1,0)</f>
        <v>1</v>
      </c>
      <c r="Q552" s="3" t="n">
        <f aca="false">IF(F552="Cancelled",1,0)</f>
        <v>0</v>
      </c>
      <c r="R552" s="3" t="n">
        <f aca="false">IF(K552="Yes",1,0)</f>
        <v>1</v>
      </c>
    </row>
    <row r="553" customFormat="false" ht="15" hidden="false" customHeight="false" outlineLevel="0" collapsed="false">
      <c r="A553" s="0" t="s">
        <v>1139</v>
      </c>
      <c r="B553" s="0" t="s">
        <v>36</v>
      </c>
      <c r="C553" s="2" t="s">
        <v>246</v>
      </c>
      <c r="D553" s="2" t="s">
        <v>284</v>
      </c>
      <c r="E553" s="3" t="s">
        <v>34</v>
      </c>
      <c r="F553" s="3" t="s">
        <v>29</v>
      </c>
      <c r="G553" s="0" t="n">
        <v>731</v>
      </c>
      <c r="H553" s="4" t="n">
        <v>19.37</v>
      </c>
      <c r="I553" s="4" t="n">
        <v>17.3</v>
      </c>
      <c r="J553" s="0" t="n">
        <v>69</v>
      </c>
      <c r="K553" s="3" t="s">
        <v>44</v>
      </c>
      <c r="L553" s="3" t="n">
        <f aca="false">IF(D553="","",IF(D553-C553&lt;0,"",D553-C553))</f>
        <v>14</v>
      </c>
      <c r="M553" s="4" t="n">
        <f aca="false">G553*I553</f>
        <v>12646.3</v>
      </c>
      <c r="N553" s="5" t="n">
        <f aca="false">IF(J553="","",J553/G553*100)</f>
        <v>9.4391244870041</v>
      </c>
      <c r="O553" s="5" t="n">
        <f aca="false">(H553-I553)/H553*100</f>
        <v>10.6866288074342</v>
      </c>
      <c r="P553" s="3" t="n">
        <f aca="false">IF(OR(F553="Delivered",F553="Partially Delivered"),1,0)</f>
        <v>1</v>
      </c>
      <c r="Q553" s="3" t="n">
        <f aca="false">IF(F553="Cancelled",1,0)</f>
        <v>0</v>
      </c>
      <c r="R553" s="3" t="n">
        <f aca="false">IF(K553="Yes",1,0)</f>
        <v>0</v>
      </c>
    </row>
    <row r="554" customFormat="false" ht="15" hidden="false" customHeight="false" outlineLevel="0" collapsed="false">
      <c r="A554" s="0" t="s">
        <v>1140</v>
      </c>
      <c r="B554" s="0" t="s">
        <v>46</v>
      </c>
      <c r="C554" s="2" t="s">
        <v>470</v>
      </c>
      <c r="D554" s="2" t="s">
        <v>1141</v>
      </c>
      <c r="E554" s="3" t="s">
        <v>34</v>
      </c>
      <c r="F554" s="3" t="s">
        <v>29</v>
      </c>
      <c r="G554" s="0" t="n">
        <v>887</v>
      </c>
      <c r="H554" s="4" t="n">
        <v>65.89</v>
      </c>
      <c r="I554" s="4" t="n">
        <v>59.67</v>
      </c>
      <c r="J554" s="0" t="n">
        <v>29</v>
      </c>
      <c r="K554" s="3" t="s">
        <v>24</v>
      </c>
      <c r="L554" s="3" t="n">
        <f aca="false">IF(D554="","",IF(D554-C554&lt;0,"",D554-C554))</f>
        <v>15</v>
      </c>
      <c r="M554" s="4" t="n">
        <f aca="false">G554*I554</f>
        <v>52927.29</v>
      </c>
      <c r="N554" s="5" t="n">
        <f aca="false">IF(J554="","",J554/G554*100)</f>
        <v>3.26944757609921</v>
      </c>
      <c r="O554" s="5" t="n">
        <f aca="false">(H554-I554)/H554*100</f>
        <v>9.43997571710426</v>
      </c>
      <c r="P554" s="3" t="n">
        <f aca="false">IF(OR(F554="Delivered",F554="Partially Delivered"),1,0)</f>
        <v>1</v>
      </c>
      <c r="Q554" s="3" t="n">
        <f aca="false">IF(F554="Cancelled",1,0)</f>
        <v>0</v>
      </c>
      <c r="R554" s="3" t="n">
        <f aca="false">IF(K554="Yes",1,0)</f>
        <v>1</v>
      </c>
    </row>
    <row r="555" customFormat="false" ht="15" hidden="false" customHeight="false" outlineLevel="0" collapsed="false">
      <c r="A555" s="0" t="s">
        <v>1142</v>
      </c>
      <c r="B555" s="0" t="s">
        <v>19</v>
      </c>
      <c r="C555" s="2" t="s">
        <v>880</v>
      </c>
      <c r="D555" s="2" t="s">
        <v>1143</v>
      </c>
      <c r="E555" s="3" t="s">
        <v>34</v>
      </c>
      <c r="F555" s="3" t="s">
        <v>29</v>
      </c>
      <c r="G555" s="0" t="n">
        <v>1856</v>
      </c>
      <c r="H555" s="4" t="n">
        <v>35.29</v>
      </c>
      <c r="I555" s="4" t="n">
        <v>32.41</v>
      </c>
      <c r="J555" s="0" t="n">
        <v>26</v>
      </c>
      <c r="K555" s="3" t="s">
        <v>24</v>
      </c>
      <c r="L555" s="3" t="n">
        <f aca="false">IF(D555="","",IF(D555-C555&lt;0,"",D555-C555))</f>
        <v>2</v>
      </c>
      <c r="M555" s="4" t="n">
        <f aca="false">G555*I555</f>
        <v>60152.96</v>
      </c>
      <c r="N555" s="5" t="n">
        <f aca="false">IF(J555="","",J555/G555*100)</f>
        <v>1.40086206896552</v>
      </c>
      <c r="O555" s="5" t="n">
        <f aca="false">(H555-I555)/H555*100</f>
        <v>8.16095211107963</v>
      </c>
      <c r="P555" s="3" t="n">
        <f aca="false">IF(OR(F555="Delivered",F555="Partially Delivered"),1,0)</f>
        <v>1</v>
      </c>
      <c r="Q555" s="3" t="n">
        <f aca="false">IF(F555="Cancelled",1,0)</f>
        <v>0</v>
      </c>
      <c r="R555" s="3" t="n">
        <f aca="false">IF(K555="Yes",1,0)</f>
        <v>1</v>
      </c>
    </row>
    <row r="556" customFormat="false" ht="15" hidden="false" customHeight="false" outlineLevel="0" collapsed="false">
      <c r="A556" s="0" t="s">
        <v>1144</v>
      </c>
      <c r="B556" s="0" t="s">
        <v>46</v>
      </c>
      <c r="C556" s="2" t="s">
        <v>504</v>
      </c>
      <c r="D556" s="2" t="s">
        <v>1068</v>
      </c>
      <c r="E556" s="3" t="s">
        <v>22</v>
      </c>
      <c r="F556" s="3" t="s">
        <v>29</v>
      </c>
      <c r="G556" s="0" t="n">
        <v>1127</v>
      </c>
      <c r="H556" s="4" t="n">
        <v>49.32</v>
      </c>
      <c r="I556" s="4" t="n">
        <v>46.49</v>
      </c>
      <c r="J556" s="0" t="n">
        <v>30</v>
      </c>
      <c r="K556" s="3" t="s">
        <v>24</v>
      </c>
      <c r="L556" s="3" t="n">
        <f aca="false">IF(D556="","",IF(D556-C556&lt;0,"",D556-C556))</f>
        <v>12</v>
      </c>
      <c r="M556" s="4" t="n">
        <f aca="false">G556*I556</f>
        <v>52394.23</v>
      </c>
      <c r="N556" s="5" t="n">
        <f aca="false">IF(J556="","",J556/G556*100)</f>
        <v>2.66193433895297</v>
      </c>
      <c r="O556" s="5" t="n">
        <f aca="false">(H556-I556)/H556*100</f>
        <v>5.73803730738037</v>
      </c>
      <c r="P556" s="3" t="n">
        <f aca="false">IF(OR(F556="Delivered",F556="Partially Delivered"),1,0)</f>
        <v>1</v>
      </c>
      <c r="Q556" s="3" t="n">
        <f aca="false">IF(F556="Cancelled",1,0)</f>
        <v>0</v>
      </c>
      <c r="R556" s="3" t="n">
        <f aca="false">IF(K556="Yes",1,0)</f>
        <v>1</v>
      </c>
    </row>
    <row r="557" customFormat="false" ht="15" hidden="false" customHeight="false" outlineLevel="0" collapsed="false">
      <c r="A557" s="0" t="s">
        <v>1145</v>
      </c>
      <c r="B557" s="0" t="s">
        <v>26</v>
      </c>
      <c r="C557" s="2" t="s">
        <v>740</v>
      </c>
      <c r="D557" s="2" t="s">
        <v>318</v>
      </c>
      <c r="E557" s="3" t="s">
        <v>43</v>
      </c>
      <c r="F557" s="3" t="s">
        <v>29</v>
      </c>
      <c r="G557" s="0" t="n">
        <v>1052</v>
      </c>
      <c r="H557" s="4" t="n">
        <v>37.78</v>
      </c>
      <c r="I557" s="4" t="n">
        <v>32.6</v>
      </c>
      <c r="J557" s="0" t="n">
        <v>162</v>
      </c>
      <c r="K557" s="3" t="s">
        <v>24</v>
      </c>
      <c r="L557" s="3" t="n">
        <f aca="false">IF(D557="","",IF(D557-C557&lt;0,"",D557-C557))</f>
        <v>14</v>
      </c>
      <c r="M557" s="4" t="n">
        <f aca="false">G557*I557</f>
        <v>34295.2</v>
      </c>
      <c r="N557" s="5" t="n">
        <f aca="false">IF(J557="","",J557/G557*100)</f>
        <v>15.3992395437262</v>
      </c>
      <c r="O557" s="5" t="n">
        <f aca="false">(H557-I557)/H557*100</f>
        <v>13.7109581789307</v>
      </c>
      <c r="P557" s="3" t="n">
        <f aca="false">IF(OR(F557="Delivered",F557="Partially Delivered"),1,0)</f>
        <v>1</v>
      </c>
      <c r="Q557" s="3" t="n">
        <f aca="false">IF(F557="Cancelled",1,0)</f>
        <v>0</v>
      </c>
      <c r="R557" s="3" t="n">
        <f aca="false">IF(K557="Yes",1,0)</f>
        <v>1</v>
      </c>
    </row>
    <row r="558" customFormat="false" ht="15" hidden="false" customHeight="false" outlineLevel="0" collapsed="false">
      <c r="A558" s="0" t="s">
        <v>1146</v>
      </c>
      <c r="B558" s="0" t="s">
        <v>31</v>
      </c>
      <c r="C558" s="2" t="s">
        <v>1147</v>
      </c>
      <c r="D558" s="2" t="s">
        <v>715</v>
      </c>
      <c r="E558" s="3" t="s">
        <v>43</v>
      </c>
      <c r="F558" s="3" t="s">
        <v>29</v>
      </c>
      <c r="G558" s="0" t="n">
        <v>493</v>
      </c>
      <c r="H558" s="4" t="n">
        <v>44.74</v>
      </c>
      <c r="I558" s="4" t="n">
        <v>41.44</v>
      </c>
      <c r="J558" s="0" t="n">
        <v>24</v>
      </c>
      <c r="K558" s="3" t="s">
        <v>44</v>
      </c>
      <c r="L558" s="3" t="n">
        <f aca="false">IF(D558="","",IF(D558-C558&lt;0,"",D558-C558))</f>
        <v>2</v>
      </c>
      <c r="M558" s="4" t="n">
        <f aca="false">G558*I558</f>
        <v>20429.92</v>
      </c>
      <c r="N558" s="5" t="n">
        <f aca="false">IF(J558="","",J558/G558*100)</f>
        <v>4.86815415821501</v>
      </c>
      <c r="O558" s="5" t="n">
        <f aca="false">(H558-I558)/H558*100</f>
        <v>7.37594993294592</v>
      </c>
      <c r="P558" s="3" t="n">
        <f aca="false">IF(OR(F558="Delivered",F558="Partially Delivered"),1,0)</f>
        <v>1</v>
      </c>
      <c r="Q558" s="3" t="n">
        <f aca="false">IF(F558="Cancelled",1,0)</f>
        <v>0</v>
      </c>
      <c r="R558" s="3" t="n">
        <f aca="false">IF(K558="Yes",1,0)</f>
        <v>0</v>
      </c>
    </row>
    <row r="559" customFormat="false" ht="15" hidden="false" customHeight="false" outlineLevel="0" collapsed="false">
      <c r="A559" s="0" t="s">
        <v>1148</v>
      </c>
      <c r="B559" s="0" t="s">
        <v>26</v>
      </c>
      <c r="C559" s="2" t="s">
        <v>476</v>
      </c>
      <c r="D559" s="2" t="s">
        <v>96</v>
      </c>
      <c r="E559" s="3" t="s">
        <v>34</v>
      </c>
      <c r="F559" s="3" t="s">
        <v>58</v>
      </c>
      <c r="G559" s="0" t="n">
        <v>662</v>
      </c>
      <c r="H559" s="4" t="n">
        <v>81.44</v>
      </c>
      <c r="I559" s="4" t="n">
        <v>71.33</v>
      </c>
      <c r="J559" s="0" t="n">
        <v>87</v>
      </c>
      <c r="K559" s="3" t="s">
        <v>24</v>
      </c>
      <c r="L559" s="3" t="n">
        <f aca="false">IF(D559="","",IF(D559-C559&lt;0,"",D559-C559))</f>
        <v>13</v>
      </c>
      <c r="M559" s="4" t="n">
        <f aca="false">G559*I559</f>
        <v>47220.46</v>
      </c>
      <c r="N559" s="5" t="n">
        <f aca="false">IF(J559="","",J559/G559*100)</f>
        <v>13.1419939577039</v>
      </c>
      <c r="O559" s="5" t="n">
        <f aca="false">(H559-I559)/H559*100</f>
        <v>12.414047151277</v>
      </c>
      <c r="P559" s="3" t="n">
        <f aca="false">IF(OR(F559="Delivered",F559="Partially Delivered"),1,0)</f>
        <v>1</v>
      </c>
      <c r="Q559" s="3" t="n">
        <f aca="false">IF(F559="Cancelled",1,0)</f>
        <v>0</v>
      </c>
      <c r="R559" s="3" t="n">
        <f aca="false">IF(K559="Yes",1,0)</f>
        <v>1</v>
      </c>
    </row>
    <row r="560" customFormat="false" ht="15" hidden="false" customHeight="false" outlineLevel="0" collapsed="false">
      <c r="A560" s="0" t="s">
        <v>1149</v>
      </c>
      <c r="B560" s="0" t="s">
        <v>19</v>
      </c>
      <c r="C560" s="2" t="s">
        <v>478</v>
      </c>
      <c r="D560" s="2" t="s">
        <v>123</v>
      </c>
      <c r="E560" s="3" t="s">
        <v>43</v>
      </c>
      <c r="F560" s="3" t="s">
        <v>29</v>
      </c>
      <c r="G560" s="0" t="n">
        <v>1042</v>
      </c>
      <c r="H560" s="4" t="n">
        <v>36.74</v>
      </c>
      <c r="I560" s="4" t="n">
        <v>35.78</v>
      </c>
      <c r="J560" s="0" t="n">
        <v>33</v>
      </c>
      <c r="K560" s="3" t="s">
        <v>24</v>
      </c>
      <c r="L560" s="3" t="n">
        <f aca="false">IF(D560="","",IF(D560-C560&lt;0,"",D560-C560))</f>
        <v>6</v>
      </c>
      <c r="M560" s="4" t="n">
        <f aca="false">G560*I560</f>
        <v>37282.76</v>
      </c>
      <c r="N560" s="5" t="n">
        <f aca="false">IF(J560="","",J560/G560*100)</f>
        <v>3.16698656429942</v>
      </c>
      <c r="O560" s="5" t="n">
        <f aca="false">(H560-I560)/H560*100</f>
        <v>2.61295590636908</v>
      </c>
      <c r="P560" s="3" t="n">
        <f aca="false">IF(OR(F560="Delivered",F560="Partially Delivered"),1,0)</f>
        <v>1</v>
      </c>
      <c r="Q560" s="3" t="n">
        <f aca="false">IF(F560="Cancelled",1,0)</f>
        <v>0</v>
      </c>
      <c r="R560" s="3" t="n">
        <f aca="false">IF(K560="Yes",1,0)</f>
        <v>1</v>
      </c>
    </row>
    <row r="561" customFormat="false" ht="15" hidden="false" customHeight="false" outlineLevel="0" collapsed="false">
      <c r="A561" s="0" t="s">
        <v>1150</v>
      </c>
      <c r="B561" s="0" t="s">
        <v>19</v>
      </c>
      <c r="C561" s="2" t="s">
        <v>1151</v>
      </c>
      <c r="D561" s="2"/>
      <c r="E561" s="3" t="s">
        <v>43</v>
      </c>
      <c r="F561" s="3" t="s">
        <v>29</v>
      </c>
      <c r="G561" s="0" t="n">
        <v>313</v>
      </c>
      <c r="H561" s="4" t="n">
        <v>64.03</v>
      </c>
      <c r="I561" s="4" t="n">
        <v>57.74</v>
      </c>
      <c r="J561" s="0" t="n">
        <v>1</v>
      </c>
      <c r="K561" s="3" t="s">
        <v>24</v>
      </c>
      <c r="L561" s="0" t="str">
        <f aca="false">IF(D561="","",IF(D561-C561&lt;0,"",D561-C561))</f>
        <v/>
      </c>
      <c r="M561" s="4" t="n">
        <f aca="false">G561*I561</f>
        <v>18072.62</v>
      </c>
      <c r="N561" s="5" t="n">
        <f aca="false">IF(J561="","",J561/G561*100)</f>
        <v>0.319488817891374</v>
      </c>
      <c r="O561" s="5" t="n">
        <f aca="false">(H561-I561)/H561*100</f>
        <v>9.82352022489458</v>
      </c>
      <c r="P561" s="3" t="n">
        <f aca="false">IF(OR(F561="Delivered",F561="Partially Delivered"),1,0)</f>
        <v>1</v>
      </c>
      <c r="Q561" s="3" t="n">
        <f aca="false">IF(F561="Cancelled",1,0)</f>
        <v>0</v>
      </c>
      <c r="R561" s="3" t="n">
        <f aca="false">IF(K561="Yes",1,0)</f>
        <v>1</v>
      </c>
    </row>
    <row r="562" customFormat="false" ht="15" hidden="false" customHeight="false" outlineLevel="0" collapsed="false">
      <c r="A562" s="0" t="s">
        <v>1152</v>
      </c>
      <c r="B562" s="0" t="s">
        <v>19</v>
      </c>
      <c r="C562" s="2" t="s">
        <v>907</v>
      </c>
      <c r="D562" s="2" t="s">
        <v>1153</v>
      </c>
      <c r="E562" s="3" t="s">
        <v>22</v>
      </c>
      <c r="F562" s="3" t="s">
        <v>29</v>
      </c>
      <c r="G562" s="0" t="n">
        <v>1126</v>
      </c>
      <c r="H562" s="4" t="n">
        <v>55.22</v>
      </c>
      <c r="I562" s="4" t="n">
        <v>50.38</v>
      </c>
      <c r="K562" s="3" t="s">
        <v>24</v>
      </c>
      <c r="L562" s="3" t="n">
        <f aca="false">IF(D562="","",IF(D562-C562&lt;0,"",D562-C562))</f>
        <v>20</v>
      </c>
      <c r="M562" s="4" t="n">
        <f aca="false">G562*I562</f>
        <v>56727.88</v>
      </c>
      <c r="N562" s="5" t="str">
        <f aca="false">IF(J562="","",J562/G562*100)</f>
        <v/>
      </c>
      <c r="O562" s="5" t="n">
        <f aca="false">(H562-I562)/H562*100</f>
        <v>8.76494023904382</v>
      </c>
      <c r="P562" s="3" t="n">
        <f aca="false">IF(OR(F562="Delivered",F562="Partially Delivered"),1,0)</f>
        <v>1</v>
      </c>
      <c r="Q562" s="3" t="n">
        <f aca="false">IF(F562="Cancelled",1,0)</f>
        <v>0</v>
      </c>
      <c r="R562" s="3" t="n">
        <f aca="false">IF(K562="Yes",1,0)</f>
        <v>1</v>
      </c>
    </row>
    <row r="563" customFormat="false" ht="15" hidden="false" customHeight="false" outlineLevel="0" collapsed="false">
      <c r="A563" s="0" t="s">
        <v>1154</v>
      </c>
      <c r="B563" s="0" t="s">
        <v>31</v>
      </c>
      <c r="C563" s="2" t="s">
        <v>914</v>
      </c>
      <c r="D563" s="2" t="s">
        <v>571</v>
      </c>
      <c r="E563" s="3" t="s">
        <v>34</v>
      </c>
      <c r="F563" s="3" t="s">
        <v>29</v>
      </c>
      <c r="G563" s="0" t="n">
        <v>1645</v>
      </c>
      <c r="H563" s="4" t="n">
        <v>72.17</v>
      </c>
      <c r="I563" s="4" t="n">
        <v>64</v>
      </c>
      <c r="J563" s="0" t="n">
        <v>79</v>
      </c>
      <c r="K563" s="3" t="s">
        <v>24</v>
      </c>
      <c r="L563" s="3" t="n">
        <f aca="false">IF(D563="","",IF(D563-C563&lt;0,"",D563-C563))</f>
        <v>15</v>
      </c>
      <c r="M563" s="4" t="n">
        <f aca="false">G563*I563</f>
        <v>105280</v>
      </c>
      <c r="N563" s="5" t="n">
        <f aca="false">IF(J563="","",J563/G563*100)</f>
        <v>4.80243161094225</v>
      </c>
      <c r="O563" s="5" t="n">
        <f aca="false">(H563-I563)/H563*100</f>
        <v>11.3204932797561</v>
      </c>
      <c r="P563" s="3" t="n">
        <f aca="false">IF(OR(F563="Delivered",F563="Partially Delivered"),1,0)</f>
        <v>1</v>
      </c>
      <c r="Q563" s="3" t="n">
        <f aca="false">IF(F563="Cancelled",1,0)</f>
        <v>0</v>
      </c>
      <c r="R563" s="3" t="n">
        <f aca="false">IF(K563="Yes",1,0)</f>
        <v>1</v>
      </c>
    </row>
    <row r="564" customFormat="false" ht="15" hidden="false" customHeight="false" outlineLevel="0" collapsed="false">
      <c r="A564" s="0" t="s">
        <v>1155</v>
      </c>
      <c r="B564" s="0" t="s">
        <v>36</v>
      </c>
      <c r="C564" s="2" t="s">
        <v>132</v>
      </c>
      <c r="D564" s="2" t="s">
        <v>1156</v>
      </c>
      <c r="E564" s="3" t="s">
        <v>39</v>
      </c>
      <c r="F564" s="3" t="s">
        <v>29</v>
      </c>
      <c r="G564" s="0" t="n">
        <v>1053</v>
      </c>
      <c r="H564" s="4" t="n">
        <v>100.92</v>
      </c>
      <c r="I564" s="4" t="n">
        <v>92.35</v>
      </c>
      <c r="J564" s="0" t="n">
        <v>104</v>
      </c>
      <c r="K564" s="3" t="s">
        <v>24</v>
      </c>
      <c r="L564" s="3" t="n">
        <f aca="false">IF(D564="","",IF(D564-C564&lt;0,"",D564-C564))</f>
        <v>3</v>
      </c>
      <c r="M564" s="4" t="n">
        <f aca="false">G564*I564</f>
        <v>97244.55</v>
      </c>
      <c r="N564" s="5" t="n">
        <f aca="false">IF(J564="","",J564/G564*100)</f>
        <v>9.87654320987654</v>
      </c>
      <c r="O564" s="5" t="n">
        <f aca="false">(H564-I564)/H564*100</f>
        <v>8.49187475227904</v>
      </c>
      <c r="P564" s="3" t="n">
        <f aca="false">IF(OR(F564="Delivered",F564="Partially Delivered"),1,0)</f>
        <v>1</v>
      </c>
      <c r="Q564" s="3" t="n">
        <f aca="false">IF(F564="Cancelled",1,0)</f>
        <v>0</v>
      </c>
      <c r="R564" s="3" t="n">
        <f aca="false">IF(K564="Yes",1,0)</f>
        <v>1</v>
      </c>
    </row>
    <row r="565" customFormat="false" ht="15" hidden="false" customHeight="false" outlineLevel="0" collapsed="false">
      <c r="A565" s="0" t="s">
        <v>1157</v>
      </c>
      <c r="B565" s="0" t="s">
        <v>46</v>
      </c>
      <c r="C565" s="2" t="s">
        <v>758</v>
      </c>
      <c r="D565" s="2" t="s">
        <v>1158</v>
      </c>
      <c r="E565" s="3" t="s">
        <v>34</v>
      </c>
      <c r="F565" s="3" t="s">
        <v>29</v>
      </c>
      <c r="G565" s="0" t="n">
        <v>1693</v>
      </c>
      <c r="H565" s="4" t="n">
        <v>83.14</v>
      </c>
      <c r="I565" s="4" t="n">
        <v>73.3</v>
      </c>
      <c r="J565" s="0" t="n">
        <v>62</v>
      </c>
      <c r="K565" s="3" t="s">
        <v>24</v>
      </c>
      <c r="L565" s="3" t="n">
        <f aca="false">IF(D565="","",IF(D565-C565&lt;0,"",D565-C565))</f>
        <v>12</v>
      </c>
      <c r="M565" s="4" t="n">
        <f aca="false">G565*I565</f>
        <v>124096.9</v>
      </c>
      <c r="N565" s="5" t="n">
        <f aca="false">IF(J565="","",J565/G565*100)</f>
        <v>3.66213821618429</v>
      </c>
      <c r="O565" s="5" t="n">
        <f aca="false">(H565-I565)/H565*100</f>
        <v>11.8354582631706</v>
      </c>
      <c r="P565" s="3" t="n">
        <f aca="false">IF(OR(F565="Delivered",F565="Partially Delivered"),1,0)</f>
        <v>1</v>
      </c>
      <c r="Q565" s="3" t="n">
        <f aca="false">IF(F565="Cancelled",1,0)</f>
        <v>0</v>
      </c>
      <c r="R565" s="3" t="n">
        <f aca="false">IF(K565="Yes",1,0)</f>
        <v>1</v>
      </c>
    </row>
    <row r="566" customFormat="false" ht="15" hidden="false" customHeight="false" outlineLevel="0" collapsed="false">
      <c r="A566" s="0" t="s">
        <v>1159</v>
      </c>
      <c r="B566" s="0" t="s">
        <v>46</v>
      </c>
      <c r="C566" s="2" t="s">
        <v>535</v>
      </c>
      <c r="D566" s="2" t="s">
        <v>454</v>
      </c>
      <c r="E566" s="3" t="s">
        <v>43</v>
      </c>
      <c r="F566" s="3" t="s">
        <v>62</v>
      </c>
      <c r="G566" s="0" t="n">
        <v>54</v>
      </c>
      <c r="H566" s="4" t="n">
        <v>32.28</v>
      </c>
      <c r="I566" s="4" t="n">
        <v>28.65</v>
      </c>
      <c r="J566" s="0" t="n">
        <v>3</v>
      </c>
      <c r="K566" s="3" t="s">
        <v>24</v>
      </c>
      <c r="L566" s="3" t="n">
        <f aca="false">IF(D566="","",IF(D566-C566&lt;0,"",D566-C566))</f>
        <v>19</v>
      </c>
      <c r="M566" s="4" t="n">
        <f aca="false">G566*I566</f>
        <v>1547.1</v>
      </c>
      <c r="N566" s="5" t="n">
        <f aca="false">IF(J566="","",J566/G566*100)</f>
        <v>5.55555555555556</v>
      </c>
      <c r="O566" s="5" t="n">
        <f aca="false">(H566-I566)/H566*100</f>
        <v>11.2453531598513</v>
      </c>
      <c r="P566" s="3" t="n">
        <f aca="false">IF(OR(F566="Delivered",F566="Partially Delivered"),1,0)</f>
        <v>0</v>
      </c>
      <c r="Q566" s="3" t="n">
        <f aca="false">IF(F566="Cancelled",1,0)</f>
        <v>0</v>
      </c>
      <c r="R566" s="3" t="n">
        <f aca="false">IF(K566="Yes",1,0)</f>
        <v>1</v>
      </c>
    </row>
    <row r="567" customFormat="false" ht="15" hidden="false" customHeight="false" outlineLevel="0" collapsed="false">
      <c r="A567" s="0" t="s">
        <v>1160</v>
      </c>
      <c r="B567" s="0" t="s">
        <v>46</v>
      </c>
      <c r="C567" s="2" t="s">
        <v>1161</v>
      </c>
      <c r="D567" s="2" t="s">
        <v>424</v>
      </c>
      <c r="E567" s="3" t="s">
        <v>39</v>
      </c>
      <c r="F567" s="3" t="s">
        <v>29</v>
      </c>
      <c r="G567" s="0" t="n">
        <v>1176</v>
      </c>
      <c r="H567" s="4" t="n">
        <v>14.22</v>
      </c>
      <c r="I567" s="4" t="n">
        <v>12.21</v>
      </c>
      <c r="J567" s="0" t="n">
        <v>33</v>
      </c>
      <c r="K567" s="3" t="s">
        <v>24</v>
      </c>
      <c r="L567" s="3" t="n">
        <f aca="false">IF(D567="","",IF(D567-C567&lt;0,"",D567-C567))</f>
        <v>5</v>
      </c>
      <c r="M567" s="4" t="n">
        <f aca="false">G567*I567</f>
        <v>14358.96</v>
      </c>
      <c r="N567" s="5" t="n">
        <f aca="false">IF(J567="","",J567/G567*100)</f>
        <v>2.80612244897959</v>
      </c>
      <c r="O567" s="5" t="n">
        <f aca="false">(H567-I567)/H567*100</f>
        <v>14.1350210970464</v>
      </c>
      <c r="P567" s="3" t="n">
        <f aca="false">IF(OR(F567="Delivered",F567="Partially Delivered"),1,0)</f>
        <v>1</v>
      </c>
      <c r="Q567" s="3" t="n">
        <f aca="false">IF(F567="Cancelled",1,0)</f>
        <v>0</v>
      </c>
      <c r="R567" s="3" t="n">
        <f aca="false">IF(K567="Yes",1,0)</f>
        <v>1</v>
      </c>
    </row>
    <row r="568" customFormat="false" ht="15" hidden="false" customHeight="false" outlineLevel="0" collapsed="false">
      <c r="A568" s="0" t="s">
        <v>1162</v>
      </c>
      <c r="B568" s="0" t="s">
        <v>46</v>
      </c>
      <c r="C568" s="2" t="s">
        <v>1163</v>
      </c>
      <c r="D568" s="2" t="s">
        <v>938</v>
      </c>
      <c r="E568" s="3" t="s">
        <v>43</v>
      </c>
      <c r="F568" s="3" t="s">
        <v>29</v>
      </c>
      <c r="G568" s="0" t="n">
        <v>1269</v>
      </c>
      <c r="H568" s="4" t="n">
        <v>35.28</v>
      </c>
      <c r="I568" s="4" t="n">
        <v>33.7</v>
      </c>
      <c r="J568" s="0" t="n">
        <v>35</v>
      </c>
      <c r="K568" s="3" t="s">
        <v>24</v>
      </c>
      <c r="L568" s="3" t="n">
        <f aca="false">IF(D568="","",IF(D568-C568&lt;0,"",D568-C568))</f>
        <v>12</v>
      </c>
      <c r="M568" s="4" t="n">
        <f aca="false">G568*I568</f>
        <v>42765.3</v>
      </c>
      <c r="N568" s="5" t="n">
        <f aca="false">IF(J568="","",J568/G568*100)</f>
        <v>2.75807722616233</v>
      </c>
      <c r="O568" s="5" t="n">
        <f aca="false">(H568-I568)/H568*100</f>
        <v>4.47845804988662</v>
      </c>
      <c r="P568" s="3" t="n">
        <f aca="false">IF(OR(F568="Delivered",F568="Partially Delivered"),1,0)</f>
        <v>1</v>
      </c>
      <c r="Q568" s="3" t="n">
        <f aca="false">IF(F568="Cancelled",1,0)</f>
        <v>0</v>
      </c>
      <c r="R568" s="3" t="n">
        <f aca="false">IF(K568="Yes",1,0)</f>
        <v>1</v>
      </c>
    </row>
    <row r="569" customFormat="false" ht="15" hidden="false" customHeight="false" outlineLevel="0" collapsed="false">
      <c r="A569" s="0" t="s">
        <v>1164</v>
      </c>
      <c r="B569" s="0" t="s">
        <v>46</v>
      </c>
      <c r="C569" s="2" t="s">
        <v>116</v>
      </c>
      <c r="D569" s="2" t="s">
        <v>401</v>
      </c>
      <c r="E569" s="3" t="s">
        <v>43</v>
      </c>
      <c r="F569" s="3" t="s">
        <v>29</v>
      </c>
      <c r="G569" s="0" t="n">
        <v>823</v>
      </c>
      <c r="H569" s="4" t="n">
        <v>68.32</v>
      </c>
      <c r="I569" s="4" t="n">
        <v>64.46</v>
      </c>
      <c r="J569" s="0" t="n">
        <v>19</v>
      </c>
      <c r="K569" s="3" t="s">
        <v>24</v>
      </c>
      <c r="L569" s="3" t="n">
        <f aca="false">IF(D569="","",IF(D569-C569&lt;0,"",D569-C569))</f>
        <v>3</v>
      </c>
      <c r="M569" s="4" t="n">
        <f aca="false">G569*I569</f>
        <v>53050.58</v>
      </c>
      <c r="N569" s="5" t="n">
        <f aca="false">IF(J569="","",J569/G569*100)</f>
        <v>2.3086269744836</v>
      </c>
      <c r="O569" s="5" t="n">
        <f aca="false">(H569-I569)/H569*100</f>
        <v>5.64988290398127</v>
      </c>
      <c r="P569" s="3" t="n">
        <f aca="false">IF(OR(F569="Delivered",F569="Partially Delivered"),1,0)</f>
        <v>1</v>
      </c>
      <c r="Q569" s="3" t="n">
        <f aca="false">IF(F569="Cancelled",1,0)</f>
        <v>0</v>
      </c>
      <c r="R569" s="3" t="n">
        <f aca="false">IF(K569="Yes",1,0)</f>
        <v>1</v>
      </c>
    </row>
    <row r="570" customFormat="false" ht="15" hidden="false" customHeight="false" outlineLevel="0" collapsed="false">
      <c r="A570" s="0" t="s">
        <v>1165</v>
      </c>
      <c r="B570" s="0" t="s">
        <v>36</v>
      </c>
      <c r="C570" s="2" t="s">
        <v>687</v>
      </c>
      <c r="D570" s="2" t="s">
        <v>331</v>
      </c>
      <c r="E570" s="3" t="s">
        <v>71</v>
      </c>
      <c r="F570" s="3" t="s">
        <v>29</v>
      </c>
      <c r="G570" s="0" t="n">
        <v>926</v>
      </c>
      <c r="H570" s="4" t="n">
        <v>15.65</v>
      </c>
      <c r="I570" s="4" t="n">
        <v>13.49</v>
      </c>
      <c r="J570" s="0" t="n">
        <v>94</v>
      </c>
      <c r="K570" s="3" t="s">
        <v>44</v>
      </c>
      <c r="L570" s="3" t="n">
        <f aca="false">IF(D570="","",IF(D570-C570&lt;0,"",D570-C570))</f>
        <v>17</v>
      </c>
      <c r="M570" s="4" t="n">
        <f aca="false">G570*I570</f>
        <v>12491.74</v>
      </c>
      <c r="N570" s="5" t="n">
        <f aca="false">IF(J570="","",J570/G570*100)</f>
        <v>10.1511879049676</v>
      </c>
      <c r="O570" s="5" t="n">
        <f aca="false">(H570-I570)/H570*100</f>
        <v>13.8019169329073</v>
      </c>
      <c r="P570" s="3" t="n">
        <f aca="false">IF(OR(F570="Delivered",F570="Partially Delivered"),1,0)</f>
        <v>1</v>
      </c>
      <c r="Q570" s="3" t="n">
        <f aca="false">IF(F570="Cancelled",1,0)</f>
        <v>0</v>
      </c>
      <c r="R570" s="3" t="n">
        <f aca="false">IF(K570="Yes",1,0)</f>
        <v>0</v>
      </c>
    </row>
    <row r="571" customFormat="false" ht="15" hidden="false" customHeight="false" outlineLevel="0" collapsed="false">
      <c r="A571" s="0" t="s">
        <v>1166</v>
      </c>
      <c r="B571" s="0" t="s">
        <v>26</v>
      </c>
      <c r="C571" s="2" t="s">
        <v>687</v>
      </c>
      <c r="D571" s="2" t="s">
        <v>432</v>
      </c>
      <c r="E571" s="3" t="s">
        <v>71</v>
      </c>
      <c r="F571" s="3" t="s">
        <v>23</v>
      </c>
      <c r="G571" s="0" t="n">
        <v>1041</v>
      </c>
      <c r="H571" s="4" t="n">
        <v>58.5</v>
      </c>
      <c r="I571" s="4" t="n">
        <v>52.54</v>
      </c>
      <c r="J571" s="0" t="n">
        <v>170</v>
      </c>
      <c r="K571" s="3" t="s">
        <v>44</v>
      </c>
      <c r="L571" s="3" t="n">
        <f aca="false">IF(D571="","",IF(D571-C571&lt;0,"",D571-C571))</f>
        <v>11</v>
      </c>
      <c r="M571" s="4" t="n">
        <f aca="false">G571*I571</f>
        <v>54694.14</v>
      </c>
      <c r="N571" s="5" t="n">
        <f aca="false">IF(J571="","",J571/G571*100)</f>
        <v>16.3304514889529</v>
      </c>
      <c r="O571" s="5" t="n">
        <f aca="false">(H571-I571)/H571*100</f>
        <v>10.1880341880342</v>
      </c>
      <c r="P571" s="3" t="n">
        <f aca="false">IF(OR(F571="Delivered",F571="Partially Delivered"),1,0)</f>
        <v>0</v>
      </c>
      <c r="Q571" s="3" t="n">
        <f aca="false">IF(F571="Cancelled",1,0)</f>
        <v>1</v>
      </c>
      <c r="R571" s="3" t="n">
        <f aca="false">IF(K571="Yes",1,0)</f>
        <v>0</v>
      </c>
    </row>
    <row r="572" customFormat="false" ht="15" hidden="false" customHeight="false" outlineLevel="0" collapsed="false">
      <c r="A572" s="0" t="s">
        <v>1167</v>
      </c>
      <c r="B572" s="0" t="s">
        <v>31</v>
      </c>
      <c r="C572" s="2" t="s">
        <v>787</v>
      </c>
      <c r="D572" s="2" t="s">
        <v>253</v>
      </c>
      <c r="E572" s="3" t="s">
        <v>71</v>
      </c>
      <c r="F572" s="3" t="s">
        <v>62</v>
      </c>
      <c r="G572" s="0" t="n">
        <v>933</v>
      </c>
      <c r="H572" s="4" t="n">
        <v>70.72</v>
      </c>
      <c r="I572" s="4" t="n">
        <v>65.47</v>
      </c>
      <c r="J572" s="0" t="n">
        <v>42</v>
      </c>
      <c r="K572" s="3" t="s">
        <v>24</v>
      </c>
      <c r="L572" s="3" t="n">
        <f aca="false">IF(D572="","",IF(D572-C572&lt;0,"",D572-C572))</f>
        <v>8</v>
      </c>
      <c r="M572" s="4" t="n">
        <f aca="false">G572*I572</f>
        <v>61083.51</v>
      </c>
      <c r="N572" s="5" t="n">
        <f aca="false">IF(J572="","",J572/G572*100)</f>
        <v>4.5016077170418</v>
      </c>
      <c r="O572" s="5" t="n">
        <f aca="false">(H572-I572)/H572*100</f>
        <v>7.42364253393665</v>
      </c>
      <c r="P572" s="3" t="n">
        <f aca="false">IF(OR(F572="Delivered",F572="Partially Delivered"),1,0)</f>
        <v>0</v>
      </c>
      <c r="Q572" s="3" t="n">
        <f aca="false">IF(F572="Cancelled",1,0)</f>
        <v>0</v>
      </c>
      <c r="R572" s="3" t="n">
        <f aca="false">IF(K572="Yes",1,0)</f>
        <v>1</v>
      </c>
    </row>
    <row r="573" customFormat="false" ht="15" hidden="false" customHeight="false" outlineLevel="0" collapsed="false">
      <c r="A573" s="0" t="s">
        <v>1168</v>
      </c>
      <c r="B573" s="0" t="s">
        <v>26</v>
      </c>
      <c r="C573" s="2" t="s">
        <v>722</v>
      </c>
      <c r="D573" s="2"/>
      <c r="E573" s="3" t="s">
        <v>43</v>
      </c>
      <c r="F573" s="3" t="s">
        <v>29</v>
      </c>
      <c r="G573" s="0" t="n">
        <v>1423</v>
      </c>
      <c r="H573" s="4" t="n">
        <v>41.48</v>
      </c>
      <c r="I573" s="4" t="n">
        <v>40.9</v>
      </c>
      <c r="J573" s="0" t="n">
        <v>199</v>
      </c>
      <c r="K573" s="3" t="s">
        <v>24</v>
      </c>
      <c r="L573" s="0" t="str">
        <f aca="false">IF(D573="","",IF(D573-C573&lt;0,"",D573-C573))</f>
        <v/>
      </c>
      <c r="M573" s="4" t="n">
        <f aca="false">G573*I573</f>
        <v>58200.7</v>
      </c>
      <c r="N573" s="5" t="n">
        <f aca="false">IF(J573="","",J573/G573*100)</f>
        <v>13.9845397048489</v>
      </c>
      <c r="O573" s="5" t="n">
        <f aca="false">(H573-I573)/H573*100</f>
        <v>1.39826422372227</v>
      </c>
      <c r="P573" s="3" t="n">
        <f aca="false">IF(OR(F573="Delivered",F573="Partially Delivered"),1,0)</f>
        <v>1</v>
      </c>
      <c r="Q573" s="3" t="n">
        <f aca="false">IF(F573="Cancelled",1,0)</f>
        <v>0</v>
      </c>
      <c r="R573" s="3" t="n">
        <f aca="false">IF(K573="Yes",1,0)</f>
        <v>1</v>
      </c>
    </row>
    <row r="574" customFormat="false" ht="15" hidden="false" customHeight="false" outlineLevel="0" collapsed="false">
      <c r="A574" s="0" t="s">
        <v>1169</v>
      </c>
      <c r="B574" s="0" t="s">
        <v>26</v>
      </c>
      <c r="C574" s="2" t="s">
        <v>1083</v>
      </c>
      <c r="D574" s="2" t="s">
        <v>560</v>
      </c>
      <c r="E574" s="3" t="s">
        <v>34</v>
      </c>
      <c r="F574" s="3" t="s">
        <v>29</v>
      </c>
      <c r="G574" s="0" t="n">
        <v>96</v>
      </c>
      <c r="H574" s="4" t="n">
        <v>86.13</v>
      </c>
      <c r="I574" s="4" t="n">
        <v>80.32</v>
      </c>
      <c r="J574" s="0" t="n">
        <v>12</v>
      </c>
      <c r="K574" s="3" t="s">
        <v>44</v>
      </c>
      <c r="L574" s="3" t="n">
        <f aca="false">IF(D574="","",IF(D574-C574&lt;0,"",D574-C574))</f>
        <v>6</v>
      </c>
      <c r="M574" s="4" t="n">
        <f aca="false">G574*I574</f>
        <v>7710.72</v>
      </c>
      <c r="N574" s="5" t="n">
        <f aca="false">IF(J574="","",J574/G574*100)</f>
        <v>12.5</v>
      </c>
      <c r="O574" s="5" t="n">
        <f aca="false">(H574-I574)/H574*100</f>
        <v>6.74561709044468</v>
      </c>
      <c r="P574" s="3" t="n">
        <f aca="false">IF(OR(F574="Delivered",F574="Partially Delivered"),1,0)</f>
        <v>1</v>
      </c>
      <c r="Q574" s="3" t="n">
        <f aca="false">IF(F574="Cancelled",1,0)</f>
        <v>0</v>
      </c>
      <c r="R574" s="3" t="n">
        <f aca="false">IF(K574="Yes",1,0)</f>
        <v>0</v>
      </c>
    </row>
    <row r="575" customFormat="false" ht="15" hidden="false" customHeight="false" outlineLevel="0" collapsed="false">
      <c r="A575" s="0" t="s">
        <v>1170</v>
      </c>
      <c r="B575" s="0" t="s">
        <v>46</v>
      </c>
      <c r="C575" s="2" t="s">
        <v>628</v>
      </c>
      <c r="D575" s="2" t="s">
        <v>510</v>
      </c>
      <c r="E575" s="3" t="s">
        <v>34</v>
      </c>
      <c r="F575" s="3" t="s">
        <v>29</v>
      </c>
      <c r="G575" s="0" t="n">
        <v>916</v>
      </c>
      <c r="H575" s="4" t="n">
        <v>21.06</v>
      </c>
      <c r="I575" s="4" t="n">
        <v>19.53</v>
      </c>
      <c r="J575" s="0" t="n">
        <v>25</v>
      </c>
      <c r="K575" s="3" t="s">
        <v>24</v>
      </c>
      <c r="L575" s="3" t="n">
        <f aca="false">IF(D575="","",IF(D575-C575&lt;0,"",D575-C575))</f>
        <v>13</v>
      </c>
      <c r="M575" s="4" t="n">
        <f aca="false">G575*I575</f>
        <v>17889.48</v>
      </c>
      <c r="N575" s="5" t="n">
        <f aca="false">IF(J575="","",J575/G575*100)</f>
        <v>2.7292576419214</v>
      </c>
      <c r="O575" s="5" t="n">
        <f aca="false">(H575-I575)/H575*100</f>
        <v>7.26495726495725</v>
      </c>
      <c r="P575" s="3" t="n">
        <f aca="false">IF(OR(F575="Delivered",F575="Partially Delivered"),1,0)</f>
        <v>1</v>
      </c>
      <c r="Q575" s="3" t="n">
        <f aca="false">IF(F575="Cancelled",1,0)</f>
        <v>0</v>
      </c>
      <c r="R575" s="3" t="n">
        <f aca="false">IF(K575="Yes",1,0)</f>
        <v>1</v>
      </c>
    </row>
    <row r="576" customFormat="false" ht="15" hidden="false" customHeight="false" outlineLevel="0" collapsed="false">
      <c r="A576" s="0" t="s">
        <v>1171</v>
      </c>
      <c r="B576" s="0" t="s">
        <v>46</v>
      </c>
      <c r="C576" s="2" t="s">
        <v>1172</v>
      </c>
      <c r="D576" s="2"/>
      <c r="E576" s="3" t="s">
        <v>43</v>
      </c>
      <c r="F576" s="3" t="s">
        <v>29</v>
      </c>
      <c r="G576" s="0" t="n">
        <v>872</v>
      </c>
      <c r="H576" s="4" t="n">
        <v>17.18</v>
      </c>
      <c r="I576" s="4" t="n">
        <v>16.63</v>
      </c>
      <c r="J576" s="0" t="n">
        <v>20</v>
      </c>
      <c r="K576" s="3" t="s">
        <v>24</v>
      </c>
      <c r="L576" s="0" t="str">
        <f aca="false">IF(D576="","",IF(D576-C576&lt;0,"",D576-C576))</f>
        <v/>
      </c>
      <c r="M576" s="4" t="n">
        <f aca="false">G576*I576</f>
        <v>14501.36</v>
      </c>
      <c r="N576" s="5" t="n">
        <f aca="false">IF(J576="","",J576/G576*100)</f>
        <v>2.29357798165138</v>
      </c>
      <c r="O576" s="5" t="n">
        <f aca="false">(H576-I576)/H576*100</f>
        <v>3.20139697322468</v>
      </c>
      <c r="P576" s="3" t="n">
        <f aca="false">IF(OR(F576="Delivered",F576="Partially Delivered"),1,0)</f>
        <v>1</v>
      </c>
      <c r="Q576" s="3" t="n">
        <f aca="false">IF(F576="Cancelled",1,0)</f>
        <v>0</v>
      </c>
      <c r="R576" s="3" t="n">
        <f aca="false">IF(K576="Yes",1,0)</f>
        <v>1</v>
      </c>
    </row>
    <row r="577" customFormat="false" ht="15" hidden="false" customHeight="false" outlineLevel="0" collapsed="false">
      <c r="A577" s="0" t="s">
        <v>1173</v>
      </c>
      <c r="B577" s="0" t="s">
        <v>36</v>
      </c>
      <c r="C577" s="2" t="s">
        <v>644</v>
      </c>
      <c r="D577" s="2" t="s">
        <v>889</v>
      </c>
      <c r="E577" s="3" t="s">
        <v>71</v>
      </c>
      <c r="F577" s="3" t="s">
        <v>29</v>
      </c>
      <c r="G577" s="0" t="n">
        <v>985</v>
      </c>
      <c r="H577" s="4" t="n">
        <v>83.85</v>
      </c>
      <c r="I577" s="4" t="n">
        <v>80.88</v>
      </c>
      <c r="K577" s="3" t="s">
        <v>44</v>
      </c>
      <c r="L577" s="3" t="n">
        <f aca="false">IF(D577="","",IF(D577-C577&lt;0,"",D577-C577))</f>
        <v>9</v>
      </c>
      <c r="M577" s="4" t="n">
        <f aca="false">G577*I577</f>
        <v>79666.8</v>
      </c>
      <c r="N577" s="5" t="str">
        <f aca="false">IF(J577="","",J577/G577*100)</f>
        <v/>
      </c>
      <c r="O577" s="5" t="n">
        <f aca="false">(H577-I577)/H577*100</f>
        <v>3.54203935599284</v>
      </c>
      <c r="P577" s="3" t="n">
        <f aca="false">IF(OR(F577="Delivered",F577="Partially Delivered"),1,0)</f>
        <v>1</v>
      </c>
      <c r="Q577" s="3" t="n">
        <f aca="false">IF(F577="Cancelled",1,0)</f>
        <v>0</v>
      </c>
      <c r="R577" s="3" t="n">
        <f aca="false">IF(K577="Yes",1,0)</f>
        <v>0</v>
      </c>
    </row>
    <row r="578" customFormat="false" ht="15" hidden="false" customHeight="false" outlineLevel="0" collapsed="false">
      <c r="A578" s="0" t="s">
        <v>1174</v>
      </c>
      <c r="B578" s="0" t="s">
        <v>31</v>
      </c>
      <c r="C578" s="2" t="s">
        <v>180</v>
      </c>
      <c r="D578" s="2" t="s">
        <v>372</v>
      </c>
      <c r="E578" s="3" t="s">
        <v>43</v>
      </c>
      <c r="F578" s="3" t="s">
        <v>29</v>
      </c>
      <c r="G578" s="0" t="n">
        <v>1893</v>
      </c>
      <c r="H578" s="4" t="n">
        <v>55.14</v>
      </c>
      <c r="I578" s="4" t="n">
        <v>50.1</v>
      </c>
      <c r="J578" s="0" t="n">
        <v>98</v>
      </c>
      <c r="K578" s="3" t="s">
        <v>24</v>
      </c>
      <c r="L578" s="3" t="n">
        <f aca="false">IF(D578="","",IF(D578-C578&lt;0,"",D578-C578))</f>
        <v>7</v>
      </c>
      <c r="M578" s="4" t="n">
        <f aca="false">G578*I578</f>
        <v>94839.3</v>
      </c>
      <c r="N578" s="5" t="n">
        <f aca="false">IF(J578="","",J578/G578*100)</f>
        <v>5.1769677760169</v>
      </c>
      <c r="O578" s="5" t="n">
        <f aca="false">(H578-I578)/H578*100</f>
        <v>9.14036996735582</v>
      </c>
      <c r="P578" s="3" t="n">
        <f aca="false">IF(OR(F578="Delivered",F578="Partially Delivered"),1,0)</f>
        <v>1</v>
      </c>
      <c r="Q578" s="3" t="n">
        <f aca="false">IF(F578="Cancelled",1,0)</f>
        <v>0</v>
      </c>
      <c r="R578" s="3" t="n">
        <f aca="false">IF(K578="Yes",1,0)</f>
        <v>1</v>
      </c>
    </row>
    <row r="579" customFormat="false" ht="15" hidden="false" customHeight="false" outlineLevel="0" collapsed="false">
      <c r="A579" s="0" t="s">
        <v>1175</v>
      </c>
      <c r="B579" s="0" t="s">
        <v>19</v>
      </c>
      <c r="C579" s="2" t="s">
        <v>1013</v>
      </c>
      <c r="D579" s="2"/>
      <c r="E579" s="3" t="s">
        <v>34</v>
      </c>
      <c r="F579" s="3" t="s">
        <v>29</v>
      </c>
      <c r="G579" s="0" t="n">
        <v>705</v>
      </c>
      <c r="H579" s="4" t="n">
        <v>75.19</v>
      </c>
      <c r="I579" s="4" t="n">
        <v>69.55</v>
      </c>
      <c r="J579" s="0" t="n">
        <v>19</v>
      </c>
      <c r="K579" s="3" t="s">
        <v>24</v>
      </c>
      <c r="L579" s="0" t="str">
        <f aca="false">IF(D579="","",IF(D579-C579&lt;0,"",D579-C579))</f>
        <v/>
      </c>
      <c r="M579" s="4" t="n">
        <f aca="false">G579*I579</f>
        <v>49032.75</v>
      </c>
      <c r="N579" s="5" t="n">
        <f aca="false">IF(J579="","",J579/G579*100)</f>
        <v>2.69503546099291</v>
      </c>
      <c r="O579" s="5" t="n">
        <f aca="false">(H579-I579)/H579*100</f>
        <v>7.50099747306823</v>
      </c>
      <c r="P579" s="3" t="n">
        <f aca="false">IF(OR(F579="Delivered",F579="Partially Delivered"),1,0)</f>
        <v>1</v>
      </c>
      <c r="Q579" s="3" t="n">
        <f aca="false">IF(F579="Cancelled",1,0)</f>
        <v>0</v>
      </c>
      <c r="R579" s="3" t="n">
        <f aca="false">IF(K579="Yes",1,0)</f>
        <v>1</v>
      </c>
    </row>
    <row r="580" customFormat="false" ht="15" hidden="false" customHeight="false" outlineLevel="0" collapsed="false">
      <c r="A580" s="0" t="s">
        <v>1176</v>
      </c>
      <c r="B580" s="0" t="s">
        <v>26</v>
      </c>
      <c r="C580" s="2" t="s">
        <v>1177</v>
      </c>
      <c r="D580" s="2" t="s">
        <v>475</v>
      </c>
      <c r="E580" s="3" t="s">
        <v>34</v>
      </c>
      <c r="F580" s="3" t="s">
        <v>29</v>
      </c>
      <c r="G580" s="0" t="n">
        <v>318</v>
      </c>
      <c r="H580" s="4" t="n">
        <v>53.31</v>
      </c>
      <c r="I580" s="4" t="n">
        <v>51.78</v>
      </c>
      <c r="K580" s="3" t="s">
        <v>44</v>
      </c>
      <c r="L580" s="3" t="n">
        <f aca="false">IF(D580="","",IF(D580-C580&lt;0,"",D580-C580))</f>
        <v>16</v>
      </c>
      <c r="M580" s="4" t="n">
        <f aca="false">G580*I580</f>
        <v>16466.04</v>
      </c>
      <c r="N580" s="5" t="str">
        <f aca="false">IF(J580="","",J580/G580*100)</f>
        <v/>
      </c>
      <c r="O580" s="5" t="n">
        <f aca="false">(H580-I580)/H580*100</f>
        <v>2.87000562746202</v>
      </c>
      <c r="P580" s="3" t="n">
        <f aca="false">IF(OR(F580="Delivered",F580="Partially Delivered"),1,0)</f>
        <v>1</v>
      </c>
      <c r="Q580" s="3" t="n">
        <f aca="false">IF(F580="Cancelled",1,0)</f>
        <v>0</v>
      </c>
      <c r="R580" s="3" t="n">
        <f aca="false">IF(K580="Yes",1,0)</f>
        <v>0</v>
      </c>
    </row>
    <row r="581" customFormat="false" ht="15" hidden="false" customHeight="false" outlineLevel="0" collapsed="false">
      <c r="A581" s="0" t="s">
        <v>1178</v>
      </c>
      <c r="B581" s="0" t="s">
        <v>19</v>
      </c>
      <c r="C581" s="2" t="s">
        <v>896</v>
      </c>
      <c r="D581" s="2" t="s">
        <v>1179</v>
      </c>
      <c r="E581" s="3" t="s">
        <v>22</v>
      </c>
      <c r="F581" s="3" t="s">
        <v>62</v>
      </c>
      <c r="G581" s="0" t="n">
        <v>419</v>
      </c>
      <c r="H581" s="4" t="n">
        <v>35.72</v>
      </c>
      <c r="I581" s="4" t="n">
        <v>32.74</v>
      </c>
      <c r="J581" s="0" t="n">
        <v>7</v>
      </c>
      <c r="K581" s="3" t="s">
        <v>24</v>
      </c>
      <c r="L581" s="3" t="n">
        <f aca="false">IF(D581="","",IF(D581-C581&lt;0,"",D581-C581))</f>
        <v>5</v>
      </c>
      <c r="M581" s="4" t="n">
        <f aca="false">G581*I581</f>
        <v>13718.06</v>
      </c>
      <c r="N581" s="5" t="n">
        <f aca="false">IF(J581="","",J581/G581*100)</f>
        <v>1.67064439140811</v>
      </c>
      <c r="O581" s="5" t="n">
        <f aca="false">(H581-I581)/H581*100</f>
        <v>8.34266517357222</v>
      </c>
      <c r="P581" s="3" t="n">
        <f aca="false">IF(OR(F581="Delivered",F581="Partially Delivered"),1,0)</f>
        <v>0</v>
      </c>
      <c r="Q581" s="3" t="n">
        <f aca="false">IF(F581="Cancelled",1,0)</f>
        <v>0</v>
      </c>
      <c r="R581" s="3" t="n">
        <f aca="false">IF(K581="Yes",1,0)</f>
        <v>1</v>
      </c>
    </row>
    <row r="582" customFormat="false" ht="15" hidden="false" customHeight="false" outlineLevel="0" collapsed="false">
      <c r="A582" s="0" t="s">
        <v>1180</v>
      </c>
      <c r="B582" s="0" t="s">
        <v>31</v>
      </c>
      <c r="C582" s="2" t="s">
        <v>383</v>
      </c>
      <c r="D582" s="2" t="s">
        <v>256</v>
      </c>
      <c r="E582" s="3" t="s">
        <v>34</v>
      </c>
      <c r="F582" s="3" t="s">
        <v>29</v>
      </c>
      <c r="G582" s="0" t="n">
        <v>685</v>
      </c>
      <c r="H582" s="4" t="n">
        <v>92.51</v>
      </c>
      <c r="I582" s="4" t="n">
        <v>90.05</v>
      </c>
      <c r="J582" s="0" t="n">
        <v>38</v>
      </c>
      <c r="K582" s="3" t="s">
        <v>24</v>
      </c>
      <c r="L582" s="3" t="n">
        <f aca="false">IF(D582="","",IF(D582-C582&lt;0,"",D582-C582))</f>
        <v>15</v>
      </c>
      <c r="M582" s="4" t="n">
        <f aca="false">G582*I582</f>
        <v>61684.25</v>
      </c>
      <c r="N582" s="5" t="n">
        <f aca="false">IF(J582="","",J582/G582*100)</f>
        <v>5.54744525547445</v>
      </c>
      <c r="O582" s="5" t="n">
        <f aca="false">(H582-I582)/H582*100</f>
        <v>2.65917198140742</v>
      </c>
      <c r="P582" s="3" t="n">
        <f aca="false">IF(OR(F582="Delivered",F582="Partially Delivered"),1,0)</f>
        <v>1</v>
      </c>
      <c r="Q582" s="3" t="n">
        <f aca="false">IF(F582="Cancelled",1,0)</f>
        <v>0</v>
      </c>
      <c r="R582" s="3" t="n">
        <f aca="false">IF(K582="Yes",1,0)</f>
        <v>1</v>
      </c>
    </row>
    <row r="583" customFormat="false" ht="15" hidden="false" customHeight="false" outlineLevel="0" collapsed="false">
      <c r="A583" s="0" t="s">
        <v>1181</v>
      </c>
      <c r="B583" s="0" t="s">
        <v>26</v>
      </c>
      <c r="C583" s="2" t="s">
        <v>805</v>
      </c>
      <c r="D583" s="2" t="s">
        <v>921</v>
      </c>
      <c r="E583" s="3" t="s">
        <v>22</v>
      </c>
      <c r="F583" s="3" t="s">
        <v>58</v>
      </c>
      <c r="G583" s="0" t="n">
        <v>1179</v>
      </c>
      <c r="H583" s="4" t="n">
        <v>90.14</v>
      </c>
      <c r="I583" s="4" t="n">
        <v>82.63</v>
      </c>
      <c r="J583" s="0" t="n">
        <v>194</v>
      </c>
      <c r="K583" s="3" t="s">
        <v>24</v>
      </c>
      <c r="L583" s="3" t="n">
        <f aca="false">IF(D583="","",IF(D583-C583&lt;0,"",D583-C583))</f>
        <v>15</v>
      </c>
      <c r="M583" s="4" t="n">
        <f aca="false">G583*I583</f>
        <v>97420.77</v>
      </c>
      <c r="N583" s="5" t="n">
        <f aca="false">IF(J583="","",J583/G583*100)</f>
        <v>16.4546225614928</v>
      </c>
      <c r="O583" s="5" t="n">
        <f aca="false">(H583-I583)/H583*100</f>
        <v>8.33148435766586</v>
      </c>
      <c r="P583" s="3" t="n">
        <f aca="false">IF(OR(F583="Delivered",F583="Partially Delivered"),1,0)</f>
        <v>1</v>
      </c>
      <c r="Q583" s="3" t="n">
        <f aca="false">IF(F583="Cancelled",1,0)</f>
        <v>0</v>
      </c>
      <c r="R583" s="3" t="n">
        <f aca="false">IF(K583="Yes",1,0)</f>
        <v>1</v>
      </c>
    </row>
    <row r="584" customFormat="false" ht="15" hidden="false" customHeight="false" outlineLevel="0" collapsed="false">
      <c r="A584" s="0" t="s">
        <v>1182</v>
      </c>
      <c r="B584" s="0" t="s">
        <v>19</v>
      </c>
      <c r="C584" s="2" t="s">
        <v>302</v>
      </c>
      <c r="D584" s="2"/>
      <c r="E584" s="3" t="s">
        <v>43</v>
      </c>
      <c r="F584" s="3" t="s">
        <v>29</v>
      </c>
      <c r="G584" s="0" t="n">
        <v>1743</v>
      </c>
      <c r="H584" s="4" t="n">
        <v>76.51</v>
      </c>
      <c r="I584" s="4" t="n">
        <v>65.88</v>
      </c>
      <c r="J584" s="0" t="n">
        <v>40</v>
      </c>
      <c r="K584" s="3" t="s">
        <v>24</v>
      </c>
      <c r="L584" s="0" t="str">
        <f aca="false">IF(D584="","",IF(D584-C584&lt;0,"",D584-C584))</f>
        <v/>
      </c>
      <c r="M584" s="4" t="n">
        <f aca="false">G584*I584</f>
        <v>114828.84</v>
      </c>
      <c r="N584" s="5" t="n">
        <f aca="false">IF(J584="","",J584/G584*100)</f>
        <v>2.29489386115892</v>
      </c>
      <c r="O584" s="5" t="n">
        <f aca="false">(H584-I584)/H584*100</f>
        <v>13.8936086786041</v>
      </c>
      <c r="P584" s="3" t="n">
        <f aca="false">IF(OR(F584="Delivered",F584="Partially Delivered"),1,0)</f>
        <v>1</v>
      </c>
      <c r="Q584" s="3" t="n">
        <f aca="false">IF(F584="Cancelled",1,0)</f>
        <v>0</v>
      </c>
      <c r="R584" s="3" t="n">
        <f aca="false">IF(K584="Yes",1,0)</f>
        <v>1</v>
      </c>
    </row>
    <row r="585" customFormat="false" ht="15" hidden="false" customHeight="false" outlineLevel="0" collapsed="false">
      <c r="A585" s="0" t="s">
        <v>1183</v>
      </c>
      <c r="B585" s="0" t="s">
        <v>19</v>
      </c>
      <c r="C585" s="2" t="s">
        <v>78</v>
      </c>
      <c r="D585" s="2" t="s">
        <v>155</v>
      </c>
      <c r="E585" s="3" t="s">
        <v>34</v>
      </c>
      <c r="F585" s="3" t="s">
        <v>29</v>
      </c>
      <c r="G585" s="0" t="n">
        <v>1732</v>
      </c>
      <c r="H585" s="4" t="n">
        <v>35.01</v>
      </c>
      <c r="I585" s="4" t="n">
        <v>34.18</v>
      </c>
      <c r="J585" s="0" t="n">
        <v>40</v>
      </c>
      <c r="K585" s="3" t="s">
        <v>24</v>
      </c>
      <c r="L585" s="3" t="n">
        <f aca="false">IF(D585="","",IF(D585-C585&lt;0,"",D585-C585))</f>
        <v>11</v>
      </c>
      <c r="M585" s="4" t="n">
        <f aca="false">G585*I585</f>
        <v>59199.76</v>
      </c>
      <c r="N585" s="5" t="n">
        <f aca="false">IF(J585="","",J585/G585*100)</f>
        <v>2.3094688221709</v>
      </c>
      <c r="O585" s="5" t="n">
        <f aca="false">(H585-I585)/H585*100</f>
        <v>2.37075121393887</v>
      </c>
      <c r="P585" s="3" t="n">
        <f aca="false">IF(OR(F585="Delivered",F585="Partially Delivered"),1,0)</f>
        <v>1</v>
      </c>
      <c r="Q585" s="3" t="n">
        <f aca="false">IF(F585="Cancelled",1,0)</f>
        <v>0</v>
      </c>
      <c r="R585" s="3" t="n">
        <f aca="false">IF(K585="Yes",1,0)</f>
        <v>1</v>
      </c>
    </row>
    <row r="586" customFormat="false" ht="15" hidden="false" customHeight="false" outlineLevel="0" collapsed="false">
      <c r="A586" s="0" t="s">
        <v>1184</v>
      </c>
      <c r="B586" s="0" t="s">
        <v>36</v>
      </c>
      <c r="C586" s="2" t="s">
        <v>48</v>
      </c>
      <c r="D586" s="2" t="s">
        <v>289</v>
      </c>
      <c r="E586" s="3" t="s">
        <v>22</v>
      </c>
      <c r="F586" s="3" t="s">
        <v>29</v>
      </c>
      <c r="G586" s="0" t="n">
        <v>706</v>
      </c>
      <c r="H586" s="4" t="n">
        <v>65.33</v>
      </c>
      <c r="I586" s="4" t="n">
        <v>62.06</v>
      </c>
      <c r="J586" s="0" t="n">
        <v>60</v>
      </c>
      <c r="K586" s="3" t="s">
        <v>44</v>
      </c>
      <c r="L586" s="3" t="n">
        <f aca="false">IF(D586="","",IF(D586-C586&lt;0,"",D586-C586))</f>
        <v>3</v>
      </c>
      <c r="M586" s="4" t="n">
        <f aca="false">G586*I586</f>
        <v>43814.36</v>
      </c>
      <c r="N586" s="5" t="n">
        <f aca="false">IF(J586="","",J586/G586*100)</f>
        <v>8.4985835694051</v>
      </c>
      <c r="O586" s="5" t="n">
        <f aca="false">(H586-I586)/H586*100</f>
        <v>5.0053574161947</v>
      </c>
      <c r="P586" s="3" t="n">
        <f aca="false">IF(OR(F586="Delivered",F586="Partially Delivered"),1,0)</f>
        <v>1</v>
      </c>
      <c r="Q586" s="3" t="n">
        <f aca="false">IF(F586="Cancelled",1,0)</f>
        <v>0</v>
      </c>
      <c r="R586" s="3" t="n">
        <f aca="false">IF(K586="Yes",1,0)</f>
        <v>0</v>
      </c>
    </row>
    <row r="587" customFormat="false" ht="15" hidden="false" customHeight="false" outlineLevel="0" collapsed="false">
      <c r="A587" s="0" t="s">
        <v>1185</v>
      </c>
      <c r="B587" s="0" t="s">
        <v>31</v>
      </c>
      <c r="C587" s="2" t="s">
        <v>882</v>
      </c>
      <c r="D587" s="2" t="s">
        <v>417</v>
      </c>
      <c r="E587" s="3" t="s">
        <v>34</v>
      </c>
      <c r="F587" s="3" t="s">
        <v>23</v>
      </c>
      <c r="G587" s="0" t="n">
        <v>169</v>
      </c>
      <c r="H587" s="4" t="n">
        <v>47.16</v>
      </c>
      <c r="I587" s="4" t="n">
        <v>43.4</v>
      </c>
      <c r="K587" s="3" t="s">
        <v>24</v>
      </c>
      <c r="L587" s="3" t="n">
        <f aca="false">IF(D587="","",IF(D587-C587&lt;0,"",D587-C587))</f>
        <v>10</v>
      </c>
      <c r="M587" s="4" t="n">
        <f aca="false">G587*I587</f>
        <v>7334.6</v>
      </c>
      <c r="N587" s="5" t="str">
        <f aca="false">IF(J587="","",J587/G587*100)</f>
        <v/>
      </c>
      <c r="O587" s="5" t="n">
        <f aca="false">(H587-I587)/H587*100</f>
        <v>7.97285835453774</v>
      </c>
      <c r="P587" s="3" t="n">
        <f aca="false">IF(OR(F587="Delivered",F587="Partially Delivered"),1,0)</f>
        <v>0</v>
      </c>
      <c r="Q587" s="3" t="n">
        <f aca="false">IF(F587="Cancelled",1,0)</f>
        <v>1</v>
      </c>
      <c r="R587" s="3" t="n">
        <f aca="false">IF(K587="Yes",1,0)</f>
        <v>1</v>
      </c>
    </row>
    <row r="588" customFormat="false" ht="15" hidden="false" customHeight="false" outlineLevel="0" collapsed="false">
      <c r="A588" s="0" t="s">
        <v>1186</v>
      </c>
      <c r="B588" s="0" t="s">
        <v>31</v>
      </c>
      <c r="C588" s="2" t="s">
        <v>1187</v>
      </c>
      <c r="D588" s="2" t="s">
        <v>301</v>
      </c>
      <c r="E588" s="3" t="s">
        <v>22</v>
      </c>
      <c r="F588" s="3" t="s">
        <v>62</v>
      </c>
      <c r="G588" s="0" t="n">
        <v>880</v>
      </c>
      <c r="H588" s="4" t="n">
        <v>19.15</v>
      </c>
      <c r="I588" s="4" t="n">
        <v>18.69</v>
      </c>
      <c r="K588" s="3" t="s">
        <v>44</v>
      </c>
      <c r="L588" s="3" t="n">
        <f aca="false">IF(D588="","",IF(D588-C588&lt;0,"",D588-C588))</f>
        <v>6</v>
      </c>
      <c r="M588" s="4" t="n">
        <f aca="false">G588*I588</f>
        <v>16447.2</v>
      </c>
      <c r="N588" s="5" t="str">
        <f aca="false">IF(J588="","",J588/G588*100)</f>
        <v/>
      </c>
      <c r="O588" s="5" t="n">
        <f aca="false">(H588-I588)/H588*100</f>
        <v>2.40208877284594</v>
      </c>
      <c r="P588" s="3" t="n">
        <f aca="false">IF(OR(F588="Delivered",F588="Partially Delivered"),1,0)</f>
        <v>0</v>
      </c>
      <c r="Q588" s="3" t="n">
        <f aca="false">IF(F588="Cancelled",1,0)</f>
        <v>0</v>
      </c>
      <c r="R588" s="3" t="n">
        <f aca="false">IF(K588="Yes",1,0)</f>
        <v>0</v>
      </c>
    </row>
    <row r="589" customFormat="false" ht="15" hidden="false" customHeight="false" outlineLevel="0" collapsed="false">
      <c r="A589" s="0" t="s">
        <v>1188</v>
      </c>
      <c r="B589" s="0" t="s">
        <v>31</v>
      </c>
      <c r="C589" s="2" t="s">
        <v>571</v>
      </c>
      <c r="D589" s="2" t="s">
        <v>214</v>
      </c>
      <c r="E589" s="3" t="s">
        <v>34</v>
      </c>
      <c r="F589" s="3" t="s">
        <v>29</v>
      </c>
      <c r="G589" s="0" t="n">
        <v>1860</v>
      </c>
      <c r="H589" s="4" t="n">
        <v>95.8</v>
      </c>
      <c r="I589" s="4" t="n">
        <v>92.17</v>
      </c>
      <c r="J589" s="0" t="n">
        <v>105</v>
      </c>
      <c r="K589" s="3" t="s">
        <v>44</v>
      </c>
      <c r="L589" s="3" t="n">
        <f aca="false">IF(D589="","",IF(D589-C589&lt;0,"",D589-C589))</f>
        <v>6</v>
      </c>
      <c r="M589" s="4" t="n">
        <f aca="false">G589*I589</f>
        <v>171436.2</v>
      </c>
      <c r="N589" s="5" t="n">
        <f aca="false">IF(J589="","",J589/G589*100)</f>
        <v>5.64516129032258</v>
      </c>
      <c r="O589" s="5" t="n">
        <f aca="false">(H589-I589)/H589*100</f>
        <v>3.78914405010438</v>
      </c>
      <c r="P589" s="3" t="n">
        <f aca="false">IF(OR(F589="Delivered",F589="Partially Delivered"),1,0)</f>
        <v>1</v>
      </c>
      <c r="Q589" s="3" t="n">
        <f aca="false">IF(F589="Cancelled",1,0)</f>
        <v>0</v>
      </c>
      <c r="R589" s="3" t="n">
        <f aca="false">IF(K589="Yes",1,0)</f>
        <v>0</v>
      </c>
    </row>
    <row r="590" customFormat="false" ht="15" hidden="false" customHeight="false" outlineLevel="0" collapsed="false">
      <c r="A590" s="0" t="s">
        <v>1189</v>
      </c>
      <c r="B590" s="0" t="s">
        <v>26</v>
      </c>
      <c r="C590" s="2" t="s">
        <v>99</v>
      </c>
      <c r="D590" s="2" t="s">
        <v>142</v>
      </c>
      <c r="E590" s="3" t="s">
        <v>34</v>
      </c>
      <c r="F590" s="3" t="s">
        <v>29</v>
      </c>
      <c r="G590" s="0" t="n">
        <v>1677</v>
      </c>
      <c r="H590" s="4" t="n">
        <v>22.98</v>
      </c>
      <c r="I590" s="4" t="n">
        <v>21.71</v>
      </c>
      <c r="J590" s="0" t="n">
        <v>246</v>
      </c>
      <c r="K590" s="3" t="s">
        <v>24</v>
      </c>
      <c r="L590" s="3" t="n">
        <f aca="false">IF(D590="","",IF(D590-C590&lt;0,"",D590-C590))</f>
        <v>17</v>
      </c>
      <c r="M590" s="4" t="n">
        <f aca="false">G590*I590</f>
        <v>36407.67</v>
      </c>
      <c r="N590" s="5" t="n">
        <f aca="false">IF(J590="","",J590/G590*100)</f>
        <v>14.6690518783542</v>
      </c>
      <c r="O590" s="5" t="n">
        <f aca="false">(H590-I590)/H590*100</f>
        <v>5.52654482158398</v>
      </c>
      <c r="P590" s="3" t="n">
        <f aca="false">IF(OR(F590="Delivered",F590="Partially Delivered"),1,0)</f>
        <v>1</v>
      </c>
      <c r="Q590" s="3" t="n">
        <f aca="false">IF(F590="Cancelled",1,0)</f>
        <v>0</v>
      </c>
      <c r="R590" s="3" t="n">
        <f aca="false">IF(K590="Yes",1,0)</f>
        <v>1</v>
      </c>
    </row>
    <row r="591" customFormat="false" ht="15" hidden="false" customHeight="false" outlineLevel="0" collapsed="false">
      <c r="A591" s="0" t="s">
        <v>1190</v>
      </c>
      <c r="B591" s="0" t="s">
        <v>36</v>
      </c>
      <c r="C591" s="2" t="s">
        <v>1191</v>
      </c>
      <c r="D591" s="2" t="s">
        <v>1192</v>
      </c>
      <c r="E591" s="3" t="s">
        <v>39</v>
      </c>
      <c r="F591" s="3" t="s">
        <v>58</v>
      </c>
      <c r="G591" s="0" t="n">
        <v>1131</v>
      </c>
      <c r="H591" s="4" t="n">
        <v>97.43</v>
      </c>
      <c r="I591" s="4" t="n">
        <v>91.28</v>
      </c>
      <c r="J591" s="0" t="n">
        <v>103</v>
      </c>
      <c r="K591" s="3" t="s">
        <v>24</v>
      </c>
      <c r="L591" s="3" t="n">
        <f aca="false">IF(D591="","",IF(D591-C591&lt;0,"",D591-C591))</f>
        <v>7</v>
      </c>
      <c r="M591" s="4" t="n">
        <f aca="false">G591*I591</f>
        <v>103237.68</v>
      </c>
      <c r="N591" s="5" t="n">
        <f aca="false">IF(J591="","",J591/G591*100)</f>
        <v>9.10698496905394</v>
      </c>
      <c r="O591" s="5" t="n">
        <f aca="false">(H591-I591)/H591*100</f>
        <v>6.31222416093606</v>
      </c>
      <c r="P591" s="3" t="n">
        <f aca="false">IF(OR(F591="Delivered",F591="Partially Delivered"),1,0)</f>
        <v>1</v>
      </c>
      <c r="Q591" s="3" t="n">
        <f aca="false">IF(F591="Cancelled",1,0)</f>
        <v>0</v>
      </c>
      <c r="R591" s="3" t="n">
        <f aca="false">IF(K591="Yes",1,0)</f>
        <v>1</v>
      </c>
    </row>
    <row r="592" customFormat="false" ht="15" hidden="false" customHeight="false" outlineLevel="0" collapsed="false">
      <c r="A592" s="0" t="s">
        <v>1193</v>
      </c>
      <c r="B592" s="0" t="s">
        <v>46</v>
      </c>
      <c r="C592" s="2" t="s">
        <v>32</v>
      </c>
      <c r="D592" s="2" t="s">
        <v>1002</v>
      </c>
      <c r="E592" s="3" t="s">
        <v>43</v>
      </c>
      <c r="F592" s="3" t="s">
        <v>23</v>
      </c>
      <c r="G592" s="0" t="n">
        <v>1419</v>
      </c>
      <c r="H592" s="4" t="n">
        <v>50.14</v>
      </c>
      <c r="I592" s="4" t="n">
        <v>43.46</v>
      </c>
      <c r="K592" s="3" t="s">
        <v>24</v>
      </c>
      <c r="L592" s="3" t="n">
        <f aca="false">IF(D592="","",IF(D592-C592&lt;0,"",D592-C592))</f>
        <v>8</v>
      </c>
      <c r="M592" s="4" t="n">
        <f aca="false">G592*I592</f>
        <v>61669.74</v>
      </c>
      <c r="N592" s="5" t="str">
        <f aca="false">IF(J592="","",J592/G592*100)</f>
        <v/>
      </c>
      <c r="O592" s="5" t="n">
        <f aca="false">(H592-I592)/H592*100</f>
        <v>13.3226964499402</v>
      </c>
      <c r="P592" s="3" t="n">
        <f aca="false">IF(OR(F592="Delivered",F592="Partially Delivered"),1,0)</f>
        <v>0</v>
      </c>
      <c r="Q592" s="3" t="n">
        <f aca="false">IF(F592="Cancelled",1,0)</f>
        <v>1</v>
      </c>
      <c r="R592" s="3" t="n">
        <f aca="false">IF(K592="Yes",1,0)</f>
        <v>1</v>
      </c>
    </row>
    <row r="593" customFormat="false" ht="15" hidden="false" customHeight="false" outlineLevel="0" collapsed="false">
      <c r="A593" s="0" t="s">
        <v>1194</v>
      </c>
      <c r="B593" s="0" t="s">
        <v>26</v>
      </c>
      <c r="C593" s="2" t="s">
        <v>1195</v>
      </c>
      <c r="D593" s="2" t="s">
        <v>76</v>
      </c>
      <c r="E593" s="3" t="s">
        <v>43</v>
      </c>
      <c r="F593" s="3" t="s">
        <v>62</v>
      </c>
      <c r="G593" s="0" t="n">
        <v>790</v>
      </c>
      <c r="H593" s="4" t="n">
        <v>26.8</v>
      </c>
      <c r="I593" s="4" t="n">
        <v>25.62</v>
      </c>
      <c r="J593" s="0" t="n">
        <v>115</v>
      </c>
      <c r="K593" s="3" t="s">
        <v>24</v>
      </c>
      <c r="L593" s="3" t="n">
        <f aca="false">IF(D593="","",IF(D593-C593&lt;0,"",D593-C593))</f>
        <v>1</v>
      </c>
      <c r="M593" s="4" t="n">
        <f aca="false">G593*I593</f>
        <v>20239.8</v>
      </c>
      <c r="N593" s="5" t="n">
        <f aca="false">IF(J593="","",J593/G593*100)</f>
        <v>14.5569620253165</v>
      </c>
      <c r="O593" s="5" t="n">
        <f aca="false">(H593-I593)/H593*100</f>
        <v>4.40298507462687</v>
      </c>
      <c r="P593" s="3" t="n">
        <f aca="false">IF(OR(F593="Delivered",F593="Partially Delivered"),1,0)</f>
        <v>0</v>
      </c>
      <c r="Q593" s="3" t="n">
        <f aca="false">IF(F593="Cancelled",1,0)</f>
        <v>0</v>
      </c>
      <c r="R593" s="3" t="n">
        <f aca="false">IF(K593="Yes",1,0)</f>
        <v>1</v>
      </c>
    </row>
    <row r="594" customFormat="false" ht="15" hidden="false" customHeight="false" outlineLevel="0" collapsed="false">
      <c r="A594" s="0" t="s">
        <v>1196</v>
      </c>
      <c r="B594" s="0" t="s">
        <v>31</v>
      </c>
      <c r="C594" s="2" t="s">
        <v>41</v>
      </c>
      <c r="D594" s="2" t="s">
        <v>348</v>
      </c>
      <c r="E594" s="3" t="s">
        <v>34</v>
      </c>
      <c r="F594" s="3" t="s">
        <v>62</v>
      </c>
      <c r="G594" s="0" t="n">
        <v>1547</v>
      </c>
      <c r="H594" s="4" t="n">
        <v>61.12</v>
      </c>
      <c r="I594" s="4" t="n">
        <v>53.43</v>
      </c>
      <c r="J594" s="0" t="n">
        <v>77</v>
      </c>
      <c r="K594" s="3" t="s">
        <v>24</v>
      </c>
      <c r="L594" s="3" t="n">
        <f aca="false">IF(D594="","",IF(D594-C594&lt;0,"",D594-C594))</f>
        <v>19</v>
      </c>
      <c r="M594" s="4" t="n">
        <f aca="false">G594*I594</f>
        <v>82656.21</v>
      </c>
      <c r="N594" s="5" t="n">
        <f aca="false">IF(J594="","",J594/G594*100)</f>
        <v>4.97737556561086</v>
      </c>
      <c r="O594" s="5" t="n">
        <f aca="false">(H594-I594)/H594*100</f>
        <v>12.5818062827225</v>
      </c>
      <c r="P594" s="3" t="n">
        <f aca="false">IF(OR(F594="Delivered",F594="Partially Delivered"),1,0)</f>
        <v>0</v>
      </c>
      <c r="Q594" s="3" t="n">
        <f aca="false">IF(F594="Cancelled",1,0)</f>
        <v>0</v>
      </c>
      <c r="R594" s="3" t="n">
        <f aca="false">IF(K594="Yes",1,0)</f>
        <v>1</v>
      </c>
    </row>
    <row r="595" customFormat="false" ht="15" hidden="false" customHeight="false" outlineLevel="0" collapsed="false">
      <c r="A595" s="0" t="s">
        <v>1197</v>
      </c>
      <c r="B595" s="0" t="s">
        <v>26</v>
      </c>
      <c r="C595" s="2" t="s">
        <v>523</v>
      </c>
      <c r="D595" s="2" t="s">
        <v>629</v>
      </c>
      <c r="E595" s="3" t="s">
        <v>22</v>
      </c>
      <c r="F595" s="3" t="s">
        <v>23</v>
      </c>
      <c r="G595" s="0" t="n">
        <v>166</v>
      </c>
      <c r="H595" s="4" t="n">
        <v>95.65</v>
      </c>
      <c r="I595" s="4" t="n">
        <v>94.48</v>
      </c>
      <c r="J595" s="0" t="n">
        <v>23</v>
      </c>
      <c r="K595" s="3" t="s">
        <v>24</v>
      </c>
      <c r="L595" s="3" t="n">
        <f aca="false">IF(D595="","",IF(D595-C595&lt;0,"",D595-C595))</f>
        <v>18</v>
      </c>
      <c r="M595" s="4" t="n">
        <f aca="false">G595*I595</f>
        <v>15683.68</v>
      </c>
      <c r="N595" s="5" t="n">
        <f aca="false">IF(J595="","",J595/G595*100)</f>
        <v>13.855421686747</v>
      </c>
      <c r="O595" s="5" t="n">
        <f aca="false">(H595-I595)/H595*100</f>
        <v>1.22320961840042</v>
      </c>
      <c r="P595" s="3" t="n">
        <f aca="false">IF(OR(F595="Delivered",F595="Partially Delivered"),1,0)</f>
        <v>0</v>
      </c>
      <c r="Q595" s="3" t="n">
        <f aca="false">IF(F595="Cancelled",1,0)</f>
        <v>1</v>
      </c>
      <c r="R595" s="3" t="n">
        <f aca="false">IF(K595="Yes",1,0)</f>
        <v>1</v>
      </c>
    </row>
    <row r="596" customFormat="false" ht="15" hidden="false" customHeight="false" outlineLevel="0" collapsed="false">
      <c r="A596" s="0" t="s">
        <v>1198</v>
      </c>
      <c r="B596" s="0" t="s">
        <v>19</v>
      </c>
      <c r="C596" s="2" t="s">
        <v>162</v>
      </c>
      <c r="D596" s="2" t="s">
        <v>801</v>
      </c>
      <c r="E596" s="3" t="s">
        <v>71</v>
      </c>
      <c r="F596" s="3" t="s">
        <v>29</v>
      </c>
      <c r="G596" s="0" t="n">
        <v>1903</v>
      </c>
      <c r="H596" s="4" t="n">
        <v>83.49</v>
      </c>
      <c r="I596" s="4" t="n">
        <v>82.33</v>
      </c>
      <c r="J596" s="0" t="n">
        <v>43</v>
      </c>
      <c r="K596" s="3" t="s">
        <v>24</v>
      </c>
      <c r="L596" s="3" t="n">
        <f aca="false">IF(D596="","",IF(D596-C596&lt;0,"",D596-C596))</f>
        <v>3</v>
      </c>
      <c r="M596" s="4" t="n">
        <f aca="false">G596*I596</f>
        <v>156673.99</v>
      </c>
      <c r="N596" s="5" t="n">
        <f aca="false">IF(J596="","",J596/G596*100)</f>
        <v>2.2595901208618</v>
      </c>
      <c r="O596" s="5" t="n">
        <f aca="false">(H596-I596)/H596*100</f>
        <v>1.38938795065277</v>
      </c>
      <c r="P596" s="3" t="n">
        <f aca="false">IF(OR(F596="Delivered",F596="Partially Delivered"),1,0)</f>
        <v>1</v>
      </c>
      <c r="Q596" s="3" t="n">
        <f aca="false">IF(F596="Cancelled",1,0)</f>
        <v>0</v>
      </c>
      <c r="R596" s="3" t="n">
        <f aca="false">IF(K596="Yes",1,0)</f>
        <v>1</v>
      </c>
    </row>
    <row r="597" customFormat="false" ht="15" hidden="false" customHeight="false" outlineLevel="0" collapsed="false">
      <c r="A597" s="0" t="s">
        <v>1199</v>
      </c>
      <c r="B597" s="0" t="s">
        <v>26</v>
      </c>
      <c r="C597" s="2" t="s">
        <v>671</v>
      </c>
      <c r="D597" s="2" t="s">
        <v>508</v>
      </c>
      <c r="E597" s="3" t="s">
        <v>22</v>
      </c>
      <c r="F597" s="3" t="s">
        <v>58</v>
      </c>
      <c r="G597" s="0" t="n">
        <v>840</v>
      </c>
      <c r="H597" s="4" t="n">
        <v>83.42</v>
      </c>
      <c r="I597" s="4" t="n">
        <v>80.35</v>
      </c>
      <c r="J597" s="0" t="n">
        <v>153</v>
      </c>
      <c r="K597" s="3" t="s">
        <v>24</v>
      </c>
      <c r="L597" s="3" t="n">
        <f aca="false">IF(D597="","",IF(D597-C597&lt;0,"",D597-C597))</f>
        <v>13</v>
      </c>
      <c r="M597" s="4" t="n">
        <f aca="false">G597*I597</f>
        <v>67494</v>
      </c>
      <c r="N597" s="5" t="n">
        <f aca="false">IF(J597="","",J597/G597*100)</f>
        <v>18.2142857142857</v>
      </c>
      <c r="O597" s="5" t="n">
        <f aca="false">(H597-I597)/H597*100</f>
        <v>3.68017262047472</v>
      </c>
      <c r="P597" s="3" t="n">
        <f aca="false">IF(OR(F597="Delivered",F597="Partially Delivered"),1,0)</f>
        <v>1</v>
      </c>
      <c r="Q597" s="3" t="n">
        <f aca="false">IF(F597="Cancelled",1,0)</f>
        <v>0</v>
      </c>
      <c r="R597" s="3" t="n">
        <f aca="false">IF(K597="Yes",1,0)</f>
        <v>1</v>
      </c>
    </row>
    <row r="598" customFormat="false" ht="15" hidden="false" customHeight="false" outlineLevel="0" collapsed="false">
      <c r="A598" s="0" t="s">
        <v>1200</v>
      </c>
      <c r="B598" s="0" t="s">
        <v>26</v>
      </c>
      <c r="C598" s="2" t="s">
        <v>1201</v>
      </c>
      <c r="D598" s="2"/>
      <c r="E598" s="3" t="s">
        <v>34</v>
      </c>
      <c r="F598" s="3" t="s">
        <v>29</v>
      </c>
      <c r="G598" s="0" t="n">
        <v>1200</v>
      </c>
      <c r="H598" s="4" t="n">
        <v>74.49</v>
      </c>
      <c r="I598" s="4" t="n">
        <v>64.63</v>
      </c>
      <c r="J598" s="0" t="n">
        <v>161</v>
      </c>
      <c r="K598" s="3" t="s">
        <v>24</v>
      </c>
      <c r="L598" s="0" t="str">
        <f aca="false">IF(D598="","",IF(D598-C598&lt;0,"",D598-C598))</f>
        <v/>
      </c>
      <c r="M598" s="4" t="n">
        <f aca="false">G598*I598</f>
        <v>77556</v>
      </c>
      <c r="N598" s="5" t="n">
        <f aca="false">IF(J598="","",J598/G598*100)</f>
        <v>13.4166666666667</v>
      </c>
      <c r="O598" s="5" t="n">
        <f aca="false">(H598-I598)/H598*100</f>
        <v>13.2366760639012</v>
      </c>
      <c r="P598" s="3" t="n">
        <f aca="false">IF(OR(F598="Delivered",F598="Partially Delivered"),1,0)</f>
        <v>1</v>
      </c>
      <c r="Q598" s="3" t="n">
        <f aca="false">IF(F598="Cancelled",1,0)</f>
        <v>0</v>
      </c>
      <c r="R598" s="3" t="n">
        <f aca="false">IF(K598="Yes",1,0)</f>
        <v>1</v>
      </c>
    </row>
    <row r="599" customFormat="false" ht="15" hidden="false" customHeight="false" outlineLevel="0" collapsed="false">
      <c r="A599" s="0" t="s">
        <v>1202</v>
      </c>
      <c r="B599" s="0" t="s">
        <v>31</v>
      </c>
      <c r="C599" s="2" t="s">
        <v>305</v>
      </c>
      <c r="D599" s="2" t="s">
        <v>647</v>
      </c>
      <c r="E599" s="3" t="s">
        <v>43</v>
      </c>
      <c r="F599" s="3" t="s">
        <v>29</v>
      </c>
      <c r="G599" s="0" t="n">
        <v>1466</v>
      </c>
      <c r="H599" s="4" t="n">
        <v>77.37</v>
      </c>
      <c r="I599" s="4" t="n">
        <v>70.35</v>
      </c>
      <c r="J599" s="0" t="n">
        <v>72</v>
      </c>
      <c r="K599" s="3" t="s">
        <v>24</v>
      </c>
      <c r="L599" s="3" t="n">
        <f aca="false">IF(D599="","",IF(D599-C599&lt;0,"",D599-C599))</f>
        <v>17</v>
      </c>
      <c r="M599" s="4" t="n">
        <f aca="false">G599*I599</f>
        <v>103133.1</v>
      </c>
      <c r="N599" s="5" t="n">
        <f aca="false">IF(J599="","",J599/G599*100)</f>
        <v>4.91132332878581</v>
      </c>
      <c r="O599" s="5" t="n">
        <f aca="false">(H599-I599)/H599*100</f>
        <v>9.07328421868943</v>
      </c>
      <c r="P599" s="3" t="n">
        <f aca="false">IF(OR(F599="Delivered",F599="Partially Delivered"),1,0)</f>
        <v>1</v>
      </c>
      <c r="Q599" s="3" t="n">
        <f aca="false">IF(F599="Cancelled",1,0)</f>
        <v>0</v>
      </c>
      <c r="R599" s="3" t="n">
        <f aca="false">IF(K599="Yes",1,0)</f>
        <v>1</v>
      </c>
    </row>
    <row r="600" customFormat="false" ht="15" hidden="false" customHeight="false" outlineLevel="0" collapsed="false">
      <c r="A600" s="0" t="s">
        <v>1203</v>
      </c>
      <c r="B600" s="0" t="s">
        <v>19</v>
      </c>
      <c r="C600" s="2" t="s">
        <v>1204</v>
      </c>
      <c r="D600" s="2" t="s">
        <v>329</v>
      </c>
      <c r="E600" s="3" t="s">
        <v>22</v>
      </c>
      <c r="F600" s="3" t="s">
        <v>29</v>
      </c>
      <c r="G600" s="0" t="n">
        <v>1981</v>
      </c>
      <c r="H600" s="4" t="n">
        <v>95.5</v>
      </c>
      <c r="I600" s="4" t="n">
        <v>94.39</v>
      </c>
      <c r="J600" s="0" t="n">
        <v>49</v>
      </c>
      <c r="K600" s="3" t="s">
        <v>24</v>
      </c>
      <c r="L600" s="3" t="n">
        <f aca="false">IF(D600="","",IF(D600-C600&lt;0,"",D600-C600))</f>
        <v>14</v>
      </c>
      <c r="M600" s="4" t="n">
        <f aca="false">G600*I600</f>
        <v>186986.59</v>
      </c>
      <c r="N600" s="5" t="n">
        <f aca="false">IF(J600="","",J600/G600*100)</f>
        <v>2.47349823321555</v>
      </c>
      <c r="O600" s="5" t="n">
        <f aca="false">(H600-I600)/H600*100</f>
        <v>1.16230366492147</v>
      </c>
      <c r="P600" s="3" t="n">
        <f aca="false">IF(OR(F600="Delivered",F600="Partially Delivered"),1,0)</f>
        <v>1</v>
      </c>
      <c r="Q600" s="3" t="n">
        <f aca="false">IF(F600="Cancelled",1,0)</f>
        <v>0</v>
      </c>
      <c r="R600" s="3" t="n">
        <f aca="false">IF(K600="Yes",1,0)</f>
        <v>1</v>
      </c>
    </row>
    <row r="601" customFormat="false" ht="15" hidden="false" customHeight="false" outlineLevel="0" collapsed="false">
      <c r="A601" s="0" t="s">
        <v>1205</v>
      </c>
      <c r="B601" s="0" t="s">
        <v>31</v>
      </c>
      <c r="C601" s="2" t="s">
        <v>1206</v>
      </c>
      <c r="D601" s="2" t="s">
        <v>196</v>
      </c>
      <c r="E601" s="3" t="s">
        <v>39</v>
      </c>
      <c r="F601" s="3" t="s">
        <v>29</v>
      </c>
      <c r="G601" s="0" t="n">
        <v>1062</v>
      </c>
      <c r="H601" s="4" t="n">
        <v>35.55</v>
      </c>
      <c r="I601" s="4" t="n">
        <v>32.38</v>
      </c>
      <c r="K601" s="3" t="s">
        <v>24</v>
      </c>
      <c r="L601" s="3" t="n">
        <f aca="false">IF(D601="","",IF(D601-C601&lt;0,"",D601-C601))</f>
        <v>3</v>
      </c>
      <c r="M601" s="4" t="n">
        <f aca="false">G601*I601</f>
        <v>34387.56</v>
      </c>
      <c r="N601" s="5" t="str">
        <f aca="false">IF(J601="","",J601/G601*100)</f>
        <v/>
      </c>
      <c r="O601" s="5" t="n">
        <f aca="false">(H601-I601)/H601*100</f>
        <v>8.91701828410688</v>
      </c>
      <c r="P601" s="3" t="n">
        <f aca="false">IF(OR(F601="Delivered",F601="Partially Delivered"),1,0)</f>
        <v>1</v>
      </c>
      <c r="Q601" s="3" t="n">
        <f aca="false">IF(F601="Cancelled",1,0)</f>
        <v>0</v>
      </c>
      <c r="R601" s="3" t="n">
        <f aca="false">IF(K601="Yes",1,0)</f>
        <v>1</v>
      </c>
    </row>
    <row r="602" customFormat="false" ht="15" hidden="false" customHeight="false" outlineLevel="0" collapsed="false">
      <c r="A602" s="0" t="s">
        <v>1207</v>
      </c>
      <c r="B602" s="0" t="s">
        <v>19</v>
      </c>
      <c r="C602" s="2" t="s">
        <v>1005</v>
      </c>
      <c r="D602" s="2" t="s">
        <v>1208</v>
      </c>
      <c r="E602" s="3" t="s">
        <v>34</v>
      </c>
      <c r="F602" s="3" t="s">
        <v>29</v>
      </c>
      <c r="G602" s="0" t="n">
        <v>1714</v>
      </c>
      <c r="H602" s="4" t="n">
        <v>55.67</v>
      </c>
      <c r="I602" s="4" t="n">
        <v>55.09</v>
      </c>
      <c r="J602" s="0" t="n">
        <v>42</v>
      </c>
      <c r="K602" s="3" t="s">
        <v>24</v>
      </c>
      <c r="L602" s="3" t="n">
        <f aca="false">IF(D602="","",IF(D602-C602&lt;0,"",D602-C602))</f>
        <v>11</v>
      </c>
      <c r="M602" s="4" t="n">
        <f aca="false">G602*I602</f>
        <v>94424.26</v>
      </c>
      <c r="N602" s="5" t="n">
        <f aca="false">IF(J602="","",J602/G602*100)</f>
        <v>2.45040840140023</v>
      </c>
      <c r="O602" s="5" t="n">
        <f aca="false">(H602-I602)/H602*100</f>
        <v>1.0418537812107</v>
      </c>
      <c r="P602" s="3" t="n">
        <f aca="false">IF(OR(F602="Delivered",F602="Partially Delivered"),1,0)</f>
        <v>1</v>
      </c>
      <c r="Q602" s="3" t="n">
        <f aca="false">IF(F602="Cancelled",1,0)</f>
        <v>0</v>
      </c>
      <c r="R602" s="3" t="n">
        <f aca="false">IF(K602="Yes",1,0)</f>
        <v>1</v>
      </c>
    </row>
    <row r="603" customFormat="false" ht="15" hidden="false" customHeight="false" outlineLevel="0" collapsed="false">
      <c r="A603" s="0" t="s">
        <v>1209</v>
      </c>
      <c r="B603" s="0" t="s">
        <v>19</v>
      </c>
      <c r="C603" s="2" t="s">
        <v>743</v>
      </c>
      <c r="D603" s="2" t="s">
        <v>1210</v>
      </c>
      <c r="E603" s="3" t="s">
        <v>22</v>
      </c>
      <c r="F603" s="3" t="s">
        <v>29</v>
      </c>
      <c r="G603" s="0" t="n">
        <v>1131</v>
      </c>
      <c r="H603" s="4" t="n">
        <v>33.35</v>
      </c>
      <c r="I603" s="4" t="n">
        <v>31.28</v>
      </c>
      <c r="J603" s="0" t="n">
        <v>23</v>
      </c>
      <c r="K603" s="3" t="s">
        <v>24</v>
      </c>
      <c r="L603" s="3" t="n">
        <f aca="false">IF(D603="","",IF(D603-C603&lt;0,"",D603-C603))</f>
        <v>15</v>
      </c>
      <c r="M603" s="4" t="n">
        <f aca="false">G603*I603</f>
        <v>35377.68</v>
      </c>
      <c r="N603" s="5" t="n">
        <f aca="false">IF(J603="","",J603/G603*100)</f>
        <v>2.03359858532272</v>
      </c>
      <c r="O603" s="5" t="n">
        <f aca="false">(H603-I603)/H603*100</f>
        <v>6.20689655172414</v>
      </c>
      <c r="P603" s="3" t="n">
        <f aca="false">IF(OR(F603="Delivered",F603="Partially Delivered"),1,0)</f>
        <v>1</v>
      </c>
      <c r="Q603" s="3" t="n">
        <f aca="false">IF(F603="Cancelled",1,0)</f>
        <v>0</v>
      </c>
      <c r="R603" s="3" t="n">
        <f aca="false">IF(K603="Yes",1,0)</f>
        <v>1</v>
      </c>
    </row>
    <row r="604" customFormat="false" ht="15" hidden="false" customHeight="false" outlineLevel="0" collapsed="false">
      <c r="A604" s="0" t="s">
        <v>1211</v>
      </c>
      <c r="B604" s="0" t="s">
        <v>19</v>
      </c>
      <c r="C604" s="2" t="s">
        <v>1212</v>
      </c>
      <c r="D604" s="2" t="s">
        <v>304</v>
      </c>
      <c r="E604" s="3" t="s">
        <v>22</v>
      </c>
      <c r="F604" s="3" t="s">
        <v>29</v>
      </c>
      <c r="G604" s="0" t="n">
        <v>683</v>
      </c>
      <c r="H604" s="4" t="n">
        <v>104.82</v>
      </c>
      <c r="I604" s="4" t="n">
        <v>101.34</v>
      </c>
      <c r="K604" s="3" t="s">
        <v>24</v>
      </c>
      <c r="L604" s="3" t="n">
        <f aca="false">IF(D604="","",IF(D604-C604&lt;0,"",D604-C604))</f>
        <v>17</v>
      </c>
      <c r="M604" s="4" t="n">
        <f aca="false">G604*I604</f>
        <v>69215.22</v>
      </c>
      <c r="N604" s="5" t="str">
        <f aca="false">IF(J604="","",J604/G604*100)</f>
        <v/>
      </c>
      <c r="O604" s="5" t="n">
        <f aca="false">(H604-I604)/H604*100</f>
        <v>3.31997710360617</v>
      </c>
      <c r="P604" s="3" t="n">
        <f aca="false">IF(OR(F604="Delivered",F604="Partially Delivered"),1,0)</f>
        <v>1</v>
      </c>
      <c r="Q604" s="3" t="n">
        <f aca="false">IF(F604="Cancelled",1,0)</f>
        <v>0</v>
      </c>
      <c r="R604" s="3" t="n">
        <f aca="false">IF(K604="Yes",1,0)</f>
        <v>1</v>
      </c>
    </row>
    <row r="605" customFormat="false" ht="15" hidden="false" customHeight="false" outlineLevel="0" collapsed="false">
      <c r="A605" s="0" t="s">
        <v>1213</v>
      </c>
      <c r="B605" s="0" t="s">
        <v>31</v>
      </c>
      <c r="C605" s="2" t="s">
        <v>720</v>
      </c>
      <c r="D605" s="2" t="s">
        <v>1214</v>
      </c>
      <c r="E605" s="3" t="s">
        <v>39</v>
      </c>
      <c r="F605" s="3" t="s">
        <v>58</v>
      </c>
      <c r="G605" s="0" t="n">
        <v>562</v>
      </c>
      <c r="H605" s="4" t="n">
        <v>102.56</v>
      </c>
      <c r="I605" s="4" t="n">
        <v>90.88</v>
      </c>
      <c r="J605" s="0" t="n">
        <v>38</v>
      </c>
      <c r="K605" s="3" t="s">
        <v>24</v>
      </c>
      <c r="L605" s="3" t="n">
        <f aca="false">IF(D605="","",IF(D605-C605&lt;0,"",D605-C605))</f>
        <v>18</v>
      </c>
      <c r="M605" s="4" t="n">
        <f aca="false">G605*I605</f>
        <v>51074.56</v>
      </c>
      <c r="N605" s="5" t="n">
        <f aca="false">IF(J605="","",J605/G605*100)</f>
        <v>6.76156583629893</v>
      </c>
      <c r="O605" s="5" t="n">
        <f aca="false">(H605-I605)/H605*100</f>
        <v>11.3884555382215</v>
      </c>
      <c r="P605" s="3" t="n">
        <f aca="false">IF(OR(F605="Delivered",F605="Partially Delivered"),1,0)</f>
        <v>1</v>
      </c>
      <c r="Q605" s="3" t="n">
        <f aca="false">IF(F605="Cancelled",1,0)</f>
        <v>0</v>
      </c>
      <c r="R605" s="3" t="n">
        <f aca="false">IF(K605="Yes",1,0)</f>
        <v>1</v>
      </c>
    </row>
    <row r="606" customFormat="false" ht="15" hidden="false" customHeight="false" outlineLevel="0" collapsed="false">
      <c r="A606" s="0" t="s">
        <v>1215</v>
      </c>
      <c r="B606" s="0" t="s">
        <v>19</v>
      </c>
      <c r="C606" s="2" t="s">
        <v>360</v>
      </c>
      <c r="D606" s="2" t="s">
        <v>1147</v>
      </c>
      <c r="E606" s="3" t="s">
        <v>71</v>
      </c>
      <c r="F606" s="3" t="s">
        <v>29</v>
      </c>
      <c r="G606" s="0" t="n">
        <v>1824</v>
      </c>
      <c r="H606" s="4" t="n">
        <v>14.43</v>
      </c>
      <c r="I606" s="4" t="n">
        <v>14.11</v>
      </c>
      <c r="J606" s="0" t="n">
        <v>36</v>
      </c>
      <c r="K606" s="3" t="s">
        <v>24</v>
      </c>
      <c r="L606" s="3" t="n">
        <f aca="false">IF(D606="","",IF(D606-C606&lt;0,"",D606-C606))</f>
        <v>6</v>
      </c>
      <c r="M606" s="4" t="n">
        <f aca="false">G606*I606</f>
        <v>25736.64</v>
      </c>
      <c r="N606" s="5" t="n">
        <f aca="false">IF(J606="","",J606/G606*100)</f>
        <v>1.97368421052632</v>
      </c>
      <c r="O606" s="5" t="n">
        <f aca="false">(H606-I606)/H606*100</f>
        <v>2.21760221760222</v>
      </c>
      <c r="P606" s="3" t="n">
        <f aca="false">IF(OR(F606="Delivered",F606="Partially Delivered"),1,0)</f>
        <v>1</v>
      </c>
      <c r="Q606" s="3" t="n">
        <f aca="false">IF(F606="Cancelled",1,0)</f>
        <v>0</v>
      </c>
      <c r="R606" s="3" t="n">
        <f aca="false">IF(K606="Yes",1,0)</f>
        <v>1</v>
      </c>
    </row>
    <row r="607" customFormat="false" ht="15" hidden="false" customHeight="false" outlineLevel="0" collapsed="false">
      <c r="A607" s="0" t="s">
        <v>1216</v>
      </c>
      <c r="B607" s="0" t="s">
        <v>36</v>
      </c>
      <c r="C607" s="2" t="s">
        <v>498</v>
      </c>
      <c r="D607" s="2" t="s">
        <v>678</v>
      </c>
      <c r="E607" s="3" t="s">
        <v>71</v>
      </c>
      <c r="F607" s="3" t="s">
        <v>58</v>
      </c>
      <c r="G607" s="0" t="n">
        <v>851</v>
      </c>
      <c r="H607" s="4" t="n">
        <v>76.44</v>
      </c>
      <c r="I607" s="4" t="n">
        <v>74.76</v>
      </c>
      <c r="J607" s="0" t="n">
        <v>91</v>
      </c>
      <c r="K607" s="3" t="s">
        <v>24</v>
      </c>
      <c r="L607" s="3" t="n">
        <f aca="false">IF(D607="","",IF(D607-C607&lt;0,"",D607-C607))</f>
        <v>5</v>
      </c>
      <c r="M607" s="4" t="n">
        <f aca="false">G607*I607</f>
        <v>63620.76</v>
      </c>
      <c r="N607" s="5" t="n">
        <f aca="false">IF(J607="","",J607/G607*100)</f>
        <v>10.6933019976498</v>
      </c>
      <c r="O607" s="5" t="n">
        <f aca="false">(H607-I607)/H607*100</f>
        <v>2.19780219780219</v>
      </c>
      <c r="P607" s="3" t="n">
        <f aca="false">IF(OR(F607="Delivered",F607="Partially Delivered"),1,0)</f>
        <v>1</v>
      </c>
      <c r="Q607" s="3" t="n">
        <f aca="false">IF(F607="Cancelled",1,0)</f>
        <v>0</v>
      </c>
      <c r="R607" s="3" t="n">
        <f aca="false">IF(K607="Yes",1,0)</f>
        <v>1</v>
      </c>
    </row>
    <row r="608" customFormat="false" ht="15" hidden="false" customHeight="false" outlineLevel="0" collapsed="false">
      <c r="A608" s="0" t="s">
        <v>1217</v>
      </c>
      <c r="B608" s="0" t="s">
        <v>36</v>
      </c>
      <c r="C608" s="2" t="s">
        <v>968</v>
      </c>
      <c r="D608" s="2" t="s">
        <v>51</v>
      </c>
      <c r="E608" s="3" t="s">
        <v>22</v>
      </c>
      <c r="F608" s="3" t="s">
        <v>29</v>
      </c>
      <c r="G608" s="0" t="n">
        <v>1169</v>
      </c>
      <c r="H608" s="4" t="n">
        <v>95.6</v>
      </c>
      <c r="I608" s="4" t="n">
        <v>82.16</v>
      </c>
      <c r="J608" s="0" t="n">
        <v>103</v>
      </c>
      <c r="K608" s="3" t="s">
        <v>24</v>
      </c>
      <c r="L608" s="3" t="n">
        <f aca="false">IF(D608="","",IF(D608-C608&lt;0,"",D608-C608))</f>
        <v>2</v>
      </c>
      <c r="M608" s="4" t="n">
        <f aca="false">G608*I608</f>
        <v>96045.04</v>
      </c>
      <c r="N608" s="5" t="n">
        <f aca="false">IF(J608="","",J608/G608*100)</f>
        <v>8.8109495295124</v>
      </c>
      <c r="O608" s="5" t="n">
        <f aca="false">(H608-I608)/H608*100</f>
        <v>14.0585774058577</v>
      </c>
      <c r="P608" s="3" t="n">
        <f aca="false">IF(OR(F608="Delivered",F608="Partially Delivered"),1,0)</f>
        <v>1</v>
      </c>
      <c r="Q608" s="3" t="n">
        <f aca="false">IF(F608="Cancelled",1,0)</f>
        <v>0</v>
      </c>
      <c r="R608" s="3" t="n">
        <f aca="false">IF(K608="Yes",1,0)</f>
        <v>1</v>
      </c>
    </row>
    <row r="609" customFormat="false" ht="15" hidden="false" customHeight="false" outlineLevel="0" collapsed="false">
      <c r="A609" s="0" t="s">
        <v>1218</v>
      </c>
      <c r="B609" s="0" t="s">
        <v>46</v>
      </c>
      <c r="C609" s="2" t="s">
        <v>103</v>
      </c>
      <c r="D609" s="2" t="s">
        <v>882</v>
      </c>
      <c r="E609" s="3" t="s">
        <v>34</v>
      </c>
      <c r="F609" s="3" t="s">
        <v>29</v>
      </c>
      <c r="G609" s="0" t="n">
        <v>1711</v>
      </c>
      <c r="H609" s="4" t="n">
        <v>29.14</v>
      </c>
      <c r="I609" s="4" t="n">
        <v>26.35</v>
      </c>
      <c r="J609" s="0" t="n">
        <v>48</v>
      </c>
      <c r="K609" s="3" t="s">
        <v>24</v>
      </c>
      <c r="L609" s="3" t="n">
        <f aca="false">IF(D609="","",IF(D609-C609&lt;0,"",D609-C609))</f>
        <v>17</v>
      </c>
      <c r="M609" s="4" t="n">
        <f aca="false">G609*I609</f>
        <v>45084.85</v>
      </c>
      <c r="N609" s="5" t="n">
        <f aca="false">IF(J609="","",J609/G609*100)</f>
        <v>2.80537697253068</v>
      </c>
      <c r="O609" s="5" t="n">
        <f aca="false">(H609-I609)/H609*100</f>
        <v>9.57446808510638</v>
      </c>
      <c r="P609" s="3" t="n">
        <f aca="false">IF(OR(F609="Delivered",F609="Partially Delivered"),1,0)</f>
        <v>1</v>
      </c>
      <c r="Q609" s="3" t="n">
        <f aca="false">IF(F609="Cancelled",1,0)</f>
        <v>0</v>
      </c>
      <c r="R609" s="3" t="n">
        <f aca="false">IF(K609="Yes",1,0)</f>
        <v>1</v>
      </c>
    </row>
    <row r="610" customFormat="false" ht="15" hidden="false" customHeight="false" outlineLevel="0" collapsed="false">
      <c r="A610" s="0" t="s">
        <v>1219</v>
      </c>
      <c r="B610" s="0" t="s">
        <v>36</v>
      </c>
      <c r="C610" s="2" t="s">
        <v>283</v>
      </c>
      <c r="D610" s="2" t="s">
        <v>1220</v>
      </c>
      <c r="E610" s="3" t="s">
        <v>39</v>
      </c>
      <c r="F610" s="3" t="s">
        <v>62</v>
      </c>
      <c r="G610" s="0" t="n">
        <v>1191</v>
      </c>
      <c r="H610" s="4" t="n">
        <v>68.14</v>
      </c>
      <c r="I610" s="4" t="n">
        <v>61.71</v>
      </c>
      <c r="J610" s="0" t="n">
        <v>112</v>
      </c>
      <c r="K610" s="3" t="s">
        <v>24</v>
      </c>
      <c r="L610" s="3" t="n">
        <f aca="false">IF(D610="","",IF(D610-C610&lt;0,"",D610-C610))</f>
        <v>6</v>
      </c>
      <c r="M610" s="4" t="n">
        <f aca="false">G610*I610</f>
        <v>73496.61</v>
      </c>
      <c r="N610" s="5" t="n">
        <f aca="false">IF(J610="","",J610/G610*100)</f>
        <v>9.40386230058774</v>
      </c>
      <c r="O610" s="5" t="n">
        <f aca="false">(H610-I610)/H610*100</f>
        <v>9.43645435867332</v>
      </c>
      <c r="P610" s="3" t="n">
        <f aca="false">IF(OR(F610="Delivered",F610="Partially Delivered"),1,0)</f>
        <v>0</v>
      </c>
      <c r="Q610" s="3" t="n">
        <f aca="false">IF(F610="Cancelled",1,0)</f>
        <v>0</v>
      </c>
      <c r="R610" s="3" t="n">
        <f aca="false">IF(K610="Yes",1,0)</f>
        <v>1</v>
      </c>
    </row>
    <row r="611" customFormat="false" ht="15" hidden="false" customHeight="false" outlineLevel="0" collapsed="false">
      <c r="A611" s="0" t="s">
        <v>1221</v>
      </c>
      <c r="B611" s="0" t="s">
        <v>46</v>
      </c>
      <c r="C611" s="2" t="s">
        <v>936</v>
      </c>
      <c r="D611" s="2" t="s">
        <v>1222</v>
      </c>
      <c r="E611" s="3" t="s">
        <v>71</v>
      </c>
      <c r="F611" s="3" t="s">
        <v>29</v>
      </c>
      <c r="G611" s="0" t="n">
        <v>609</v>
      </c>
      <c r="H611" s="4" t="n">
        <v>92.39</v>
      </c>
      <c r="I611" s="4" t="n">
        <v>82.75</v>
      </c>
      <c r="J611" s="0" t="n">
        <v>29</v>
      </c>
      <c r="K611" s="3" t="s">
        <v>24</v>
      </c>
      <c r="L611" s="3" t="n">
        <f aca="false">IF(D611="","",IF(D611-C611&lt;0,"",D611-C611))</f>
        <v>8</v>
      </c>
      <c r="M611" s="4" t="n">
        <f aca="false">G611*I611</f>
        <v>50394.75</v>
      </c>
      <c r="N611" s="5" t="n">
        <f aca="false">IF(J611="","",J611/G611*100)</f>
        <v>4.76190476190476</v>
      </c>
      <c r="O611" s="5" t="n">
        <f aca="false">(H611-I611)/H611*100</f>
        <v>10.4340296568893</v>
      </c>
      <c r="P611" s="3" t="n">
        <f aca="false">IF(OR(F611="Delivered",F611="Partially Delivered"),1,0)</f>
        <v>1</v>
      </c>
      <c r="Q611" s="3" t="n">
        <f aca="false">IF(F611="Cancelled",1,0)</f>
        <v>0</v>
      </c>
      <c r="R611" s="3" t="n">
        <f aca="false">IF(K611="Yes",1,0)</f>
        <v>1</v>
      </c>
    </row>
    <row r="612" customFormat="false" ht="15" hidden="false" customHeight="false" outlineLevel="0" collapsed="false">
      <c r="A612" s="0" t="s">
        <v>1223</v>
      </c>
      <c r="B612" s="0" t="s">
        <v>36</v>
      </c>
      <c r="C612" s="2" t="s">
        <v>669</v>
      </c>
      <c r="D612" s="2" t="s">
        <v>794</v>
      </c>
      <c r="E612" s="3" t="s">
        <v>22</v>
      </c>
      <c r="F612" s="3" t="s">
        <v>29</v>
      </c>
      <c r="G612" s="0" t="n">
        <v>1674</v>
      </c>
      <c r="H612" s="4" t="n">
        <v>13.25</v>
      </c>
      <c r="I612" s="4" t="n">
        <v>11.77</v>
      </c>
      <c r="J612" s="0" t="n">
        <v>181</v>
      </c>
      <c r="K612" s="3" t="s">
        <v>24</v>
      </c>
      <c r="L612" s="3" t="n">
        <f aca="false">IF(D612="","",IF(D612-C612&lt;0,"",D612-C612))</f>
        <v>17</v>
      </c>
      <c r="M612" s="4" t="n">
        <f aca="false">G612*I612</f>
        <v>19702.98</v>
      </c>
      <c r="N612" s="5" t="n">
        <f aca="false">IF(J612="","",J612/G612*100)</f>
        <v>10.8124253285544</v>
      </c>
      <c r="O612" s="5" t="n">
        <f aca="false">(H612-I612)/H612*100</f>
        <v>11.1698113207547</v>
      </c>
      <c r="P612" s="3" t="n">
        <f aca="false">IF(OR(F612="Delivered",F612="Partially Delivered"),1,0)</f>
        <v>1</v>
      </c>
      <c r="Q612" s="3" t="n">
        <f aca="false">IF(F612="Cancelled",1,0)</f>
        <v>0</v>
      </c>
      <c r="R612" s="3" t="n">
        <f aca="false">IF(K612="Yes",1,0)</f>
        <v>1</v>
      </c>
    </row>
    <row r="613" customFormat="false" ht="15" hidden="false" customHeight="false" outlineLevel="0" collapsed="false">
      <c r="A613" s="0" t="s">
        <v>1224</v>
      </c>
      <c r="B613" s="0" t="s">
        <v>31</v>
      </c>
      <c r="C613" s="2" t="s">
        <v>1225</v>
      </c>
      <c r="D613" s="2" t="s">
        <v>354</v>
      </c>
      <c r="E613" s="3" t="s">
        <v>34</v>
      </c>
      <c r="F613" s="3" t="s">
        <v>29</v>
      </c>
      <c r="G613" s="0" t="n">
        <v>537</v>
      </c>
      <c r="H613" s="4" t="n">
        <v>77.86</v>
      </c>
      <c r="I613" s="4" t="n">
        <v>71.18</v>
      </c>
      <c r="J613" s="0" t="n">
        <v>20</v>
      </c>
      <c r="K613" s="3" t="s">
        <v>24</v>
      </c>
      <c r="L613" s="3" t="n">
        <f aca="false">IF(D613="","",IF(D613-C613&lt;0,"",D613-C613))</f>
        <v>3</v>
      </c>
      <c r="M613" s="4" t="n">
        <f aca="false">G613*I613</f>
        <v>38223.66</v>
      </c>
      <c r="N613" s="5" t="n">
        <f aca="false">IF(J613="","",J613/G613*100)</f>
        <v>3.7243947858473</v>
      </c>
      <c r="O613" s="5" t="n">
        <f aca="false">(H613-I613)/H613*100</f>
        <v>8.57950166966349</v>
      </c>
      <c r="P613" s="3" t="n">
        <f aca="false">IF(OR(F613="Delivered",F613="Partially Delivered"),1,0)</f>
        <v>1</v>
      </c>
      <c r="Q613" s="3" t="n">
        <f aca="false">IF(F613="Cancelled",1,0)</f>
        <v>0</v>
      </c>
      <c r="R613" s="3" t="n">
        <f aca="false">IF(K613="Yes",1,0)</f>
        <v>1</v>
      </c>
    </row>
    <row r="614" customFormat="false" ht="15" hidden="false" customHeight="false" outlineLevel="0" collapsed="false">
      <c r="A614" s="0" t="s">
        <v>1226</v>
      </c>
      <c r="B614" s="0" t="s">
        <v>46</v>
      </c>
      <c r="C614" s="2" t="s">
        <v>288</v>
      </c>
      <c r="D614" s="2" t="s">
        <v>82</v>
      </c>
      <c r="E614" s="3" t="s">
        <v>71</v>
      </c>
      <c r="F614" s="3" t="s">
        <v>29</v>
      </c>
      <c r="G614" s="0" t="n">
        <v>1310</v>
      </c>
      <c r="H614" s="4" t="n">
        <v>38.05</v>
      </c>
      <c r="I614" s="4" t="n">
        <v>37</v>
      </c>
      <c r="J614" s="0" t="n">
        <v>45</v>
      </c>
      <c r="K614" s="3" t="s">
        <v>24</v>
      </c>
      <c r="L614" s="3" t="n">
        <f aca="false">IF(D614="","",IF(D614-C614&lt;0,"",D614-C614))</f>
        <v>18</v>
      </c>
      <c r="M614" s="4" t="n">
        <f aca="false">G614*I614</f>
        <v>48470</v>
      </c>
      <c r="N614" s="5" t="n">
        <f aca="false">IF(J614="","",J614/G614*100)</f>
        <v>3.43511450381679</v>
      </c>
      <c r="O614" s="5" t="n">
        <f aca="false">(H614-I614)/H614*100</f>
        <v>2.75952693823915</v>
      </c>
      <c r="P614" s="3" t="n">
        <f aca="false">IF(OR(F614="Delivered",F614="Partially Delivered"),1,0)</f>
        <v>1</v>
      </c>
      <c r="Q614" s="3" t="n">
        <f aca="false">IF(F614="Cancelled",1,0)</f>
        <v>0</v>
      </c>
      <c r="R614" s="3" t="n">
        <f aca="false">IF(K614="Yes",1,0)</f>
        <v>1</v>
      </c>
    </row>
    <row r="615" customFormat="false" ht="15" hidden="false" customHeight="false" outlineLevel="0" collapsed="false">
      <c r="A615" s="0" t="s">
        <v>1227</v>
      </c>
      <c r="B615" s="0" t="s">
        <v>26</v>
      </c>
      <c r="C615" s="2" t="s">
        <v>1228</v>
      </c>
      <c r="D615" s="2" t="s">
        <v>265</v>
      </c>
      <c r="E615" s="3" t="s">
        <v>43</v>
      </c>
      <c r="F615" s="3" t="s">
        <v>29</v>
      </c>
      <c r="G615" s="0" t="n">
        <v>1958</v>
      </c>
      <c r="H615" s="4" t="n">
        <v>95.53</v>
      </c>
      <c r="I615" s="4" t="n">
        <v>91.72</v>
      </c>
      <c r="J615" s="0" t="n">
        <v>308</v>
      </c>
      <c r="K615" s="3" t="s">
        <v>24</v>
      </c>
      <c r="L615" s="3" t="n">
        <f aca="false">IF(D615="","",IF(D615-C615&lt;0,"",D615-C615))</f>
        <v>10</v>
      </c>
      <c r="M615" s="4" t="n">
        <f aca="false">G615*I615</f>
        <v>179587.76</v>
      </c>
      <c r="N615" s="5" t="n">
        <f aca="false">IF(J615="","",J615/G615*100)</f>
        <v>15.7303370786517</v>
      </c>
      <c r="O615" s="5" t="n">
        <f aca="false">(H615-I615)/H615*100</f>
        <v>3.98827593426149</v>
      </c>
      <c r="P615" s="3" t="n">
        <f aca="false">IF(OR(F615="Delivered",F615="Partially Delivered"),1,0)</f>
        <v>1</v>
      </c>
      <c r="Q615" s="3" t="n">
        <f aca="false">IF(F615="Cancelled",1,0)</f>
        <v>0</v>
      </c>
      <c r="R615" s="3" t="n">
        <f aca="false">IF(K615="Yes",1,0)</f>
        <v>1</v>
      </c>
    </row>
    <row r="616" customFormat="false" ht="15" hidden="false" customHeight="false" outlineLevel="0" collapsed="false">
      <c r="A616" s="0" t="s">
        <v>1229</v>
      </c>
      <c r="B616" s="0" t="s">
        <v>26</v>
      </c>
      <c r="C616" s="2" t="s">
        <v>1230</v>
      </c>
      <c r="D616" s="2" t="s">
        <v>130</v>
      </c>
      <c r="E616" s="3" t="s">
        <v>22</v>
      </c>
      <c r="F616" s="3" t="s">
        <v>29</v>
      </c>
      <c r="G616" s="0" t="n">
        <v>946</v>
      </c>
      <c r="H616" s="4" t="n">
        <v>108.6</v>
      </c>
      <c r="I616" s="4" t="n">
        <v>101.78</v>
      </c>
      <c r="J616" s="0" t="n">
        <v>146</v>
      </c>
      <c r="K616" s="3" t="s">
        <v>24</v>
      </c>
      <c r="L616" s="3" t="n">
        <f aca="false">IF(D616="","",IF(D616-C616&lt;0,"",D616-C616))</f>
        <v>3</v>
      </c>
      <c r="M616" s="4" t="n">
        <f aca="false">G616*I616</f>
        <v>96283.88</v>
      </c>
      <c r="N616" s="5" t="n">
        <f aca="false">IF(J616="","",J616/G616*100)</f>
        <v>15.4334038054968</v>
      </c>
      <c r="O616" s="5" t="n">
        <f aca="false">(H616-I616)/H616*100</f>
        <v>6.27992633517495</v>
      </c>
      <c r="P616" s="3" t="n">
        <f aca="false">IF(OR(F616="Delivered",F616="Partially Delivered"),1,0)</f>
        <v>1</v>
      </c>
      <c r="Q616" s="3" t="n">
        <f aca="false">IF(F616="Cancelled",1,0)</f>
        <v>0</v>
      </c>
      <c r="R616" s="3" t="n">
        <f aca="false">IF(K616="Yes",1,0)</f>
        <v>1</v>
      </c>
    </row>
    <row r="617" customFormat="false" ht="15" hidden="false" customHeight="false" outlineLevel="0" collapsed="false">
      <c r="A617" s="0" t="s">
        <v>1231</v>
      </c>
      <c r="B617" s="0" t="s">
        <v>36</v>
      </c>
      <c r="C617" s="2" t="s">
        <v>773</v>
      </c>
      <c r="D617" s="2" t="s">
        <v>1232</v>
      </c>
      <c r="E617" s="3" t="s">
        <v>39</v>
      </c>
      <c r="F617" s="3" t="s">
        <v>58</v>
      </c>
      <c r="G617" s="0" t="n">
        <v>1345</v>
      </c>
      <c r="H617" s="4" t="n">
        <v>103.06</v>
      </c>
      <c r="I617" s="4" t="n">
        <v>95.14</v>
      </c>
      <c r="K617" s="3" t="s">
        <v>24</v>
      </c>
      <c r="L617" s="3" t="n">
        <f aca="false">IF(D617="","",IF(D617-C617&lt;0,"",D617-C617))</f>
        <v>6</v>
      </c>
      <c r="M617" s="4" t="n">
        <f aca="false">G617*I617</f>
        <v>127963.3</v>
      </c>
      <c r="N617" s="5" t="str">
        <f aca="false">IF(J617="","",J617/G617*100)</f>
        <v/>
      </c>
      <c r="O617" s="5" t="n">
        <f aca="false">(H617-I617)/H617*100</f>
        <v>7.68484378032214</v>
      </c>
      <c r="P617" s="3" t="n">
        <f aca="false">IF(OR(F617="Delivered",F617="Partially Delivered"),1,0)</f>
        <v>1</v>
      </c>
      <c r="Q617" s="3" t="n">
        <f aca="false">IF(F617="Cancelled",1,0)</f>
        <v>0</v>
      </c>
      <c r="R617" s="3" t="n">
        <f aca="false">IF(K617="Yes",1,0)</f>
        <v>1</v>
      </c>
    </row>
    <row r="618" customFormat="false" ht="15" hidden="false" customHeight="false" outlineLevel="0" collapsed="false">
      <c r="A618" s="0" t="s">
        <v>1233</v>
      </c>
      <c r="B618" s="0" t="s">
        <v>26</v>
      </c>
      <c r="C618" s="2" t="s">
        <v>437</v>
      </c>
      <c r="D618" s="2" t="s">
        <v>1234</v>
      </c>
      <c r="E618" s="3" t="s">
        <v>34</v>
      </c>
      <c r="F618" s="3" t="s">
        <v>29</v>
      </c>
      <c r="G618" s="0" t="n">
        <v>1262</v>
      </c>
      <c r="H618" s="4" t="n">
        <v>56.63</v>
      </c>
      <c r="I618" s="4" t="n">
        <v>51.46</v>
      </c>
      <c r="K618" s="3" t="s">
        <v>44</v>
      </c>
      <c r="L618" s="3" t="n">
        <f aca="false">IF(D618="","",IF(D618-C618&lt;0,"",D618-C618))</f>
        <v>19</v>
      </c>
      <c r="M618" s="4" t="n">
        <f aca="false">G618*I618</f>
        <v>64942.52</v>
      </c>
      <c r="N618" s="5" t="str">
        <f aca="false">IF(J618="","",J618/G618*100)</f>
        <v/>
      </c>
      <c r="O618" s="5" t="n">
        <f aca="false">(H618-I618)/H618*100</f>
        <v>9.12943669433163</v>
      </c>
      <c r="P618" s="3" t="n">
        <f aca="false">IF(OR(F618="Delivered",F618="Partially Delivered"),1,0)</f>
        <v>1</v>
      </c>
      <c r="Q618" s="3" t="n">
        <f aca="false">IF(F618="Cancelled",1,0)</f>
        <v>0</v>
      </c>
      <c r="R618" s="3" t="n">
        <f aca="false">IF(K618="Yes",1,0)</f>
        <v>0</v>
      </c>
    </row>
    <row r="619" customFormat="false" ht="15" hidden="false" customHeight="false" outlineLevel="0" collapsed="false">
      <c r="A619" s="0" t="s">
        <v>1235</v>
      </c>
      <c r="B619" s="0" t="s">
        <v>36</v>
      </c>
      <c r="C619" s="2" t="s">
        <v>704</v>
      </c>
      <c r="D619" s="2" t="s">
        <v>204</v>
      </c>
      <c r="E619" s="3" t="s">
        <v>22</v>
      </c>
      <c r="F619" s="3" t="s">
        <v>62</v>
      </c>
      <c r="G619" s="0" t="n">
        <v>753</v>
      </c>
      <c r="H619" s="4" t="n">
        <v>88.02</v>
      </c>
      <c r="I619" s="4" t="n">
        <v>79.92</v>
      </c>
      <c r="J619" s="0" t="n">
        <v>75</v>
      </c>
      <c r="K619" s="3" t="s">
        <v>24</v>
      </c>
      <c r="L619" s="3" t="n">
        <f aca="false">IF(D619="","",IF(D619-C619&lt;0,"",D619-C619))</f>
        <v>20</v>
      </c>
      <c r="M619" s="4" t="n">
        <f aca="false">G619*I619</f>
        <v>60179.76</v>
      </c>
      <c r="N619" s="5" t="n">
        <f aca="false">IF(J619="","",J619/G619*100)</f>
        <v>9.9601593625498</v>
      </c>
      <c r="O619" s="5" t="n">
        <f aca="false">(H619-I619)/H619*100</f>
        <v>9.20245398773006</v>
      </c>
      <c r="P619" s="3" t="n">
        <f aca="false">IF(OR(F619="Delivered",F619="Partially Delivered"),1,0)</f>
        <v>0</v>
      </c>
      <c r="Q619" s="3" t="n">
        <f aca="false">IF(F619="Cancelled",1,0)</f>
        <v>0</v>
      </c>
      <c r="R619" s="3" t="n">
        <f aca="false">IF(K619="Yes",1,0)</f>
        <v>1</v>
      </c>
    </row>
    <row r="620" customFormat="false" ht="15" hidden="false" customHeight="false" outlineLevel="0" collapsed="false">
      <c r="A620" s="0" t="s">
        <v>1236</v>
      </c>
      <c r="B620" s="0" t="s">
        <v>36</v>
      </c>
      <c r="C620" s="2" t="s">
        <v>61</v>
      </c>
      <c r="D620" s="2" t="s">
        <v>343</v>
      </c>
      <c r="E620" s="3" t="s">
        <v>71</v>
      </c>
      <c r="F620" s="3" t="s">
        <v>29</v>
      </c>
      <c r="G620" s="0" t="n">
        <v>1520</v>
      </c>
      <c r="H620" s="4" t="n">
        <v>93.75</v>
      </c>
      <c r="I620" s="4" t="n">
        <v>81.63</v>
      </c>
      <c r="J620" s="0" t="n">
        <v>149</v>
      </c>
      <c r="K620" s="3" t="s">
        <v>24</v>
      </c>
      <c r="L620" s="3" t="n">
        <f aca="false">IF(D620="","",IF(D620-C620&lt;0,"",D620-C620))</f>
        <v>20</v>
      </c>
      <c r="M620" s="4" t="n">
        <f aca="false">G620*I620</f>
        <v>124077.6</v>
      </c>
      <c r="N620" s="5" t="n">
        <f aca="false">IF(J620="","",J620/G620*100)</f>
        <v>9.80263157894737</v>
      </c>
      <c r="O620" s="5" t="n">
        <f aca="false">(H620-I620)/H620*100</f>
        <v>12.928</v>
      </c>
      <c r="P620" s="3" t="n">
        <f aca="false">IF(OR(F620="Delivered",F620="Partially Delivered"),1,0)</f>
        <v>1</v>
      </c>
      <c r="Q620" s="3" t="n">
        <f aca="false">IF(F620="Cancelled",1,0)</f>
        <v>0</v>
      </c>
      <c r="R620" s="3" t="n">
        <f aca="false">IF(K620="Yes",1,0)</f>
        <v>1</v>
      </c>
    </row>
    <row r="621" customFormat="false" ht="15" hidden="false" customHeight="false" outlineLevel="0" collapsed="false">
      <c r="A621" s="0" t="s">
        <v>1237</v>
      </c>
      <c r="B621" s="0" t="s">
        <v>26</v>
      </c>
      <c r="C621" s="2" t="s">
        <v>693</v>
      </c>
      <c r="D621" s="2" t="s">
        <v>307</v>
      </c>
      <c r="E621" s="3" t="s">
        <v>22</v>
      </c>
      <c r="F621" s="3" t="s">
        <v>29</v>
      </c>
      <c r="G621" s="0" t="n">
        <v>630</v>
      </c>
      <c r="H621" s="4" t="n">
        <v>40.27</v>
      </c>
      <c r="I621" s="4" t="n">
        <v>37.54</v>
      </c>
      <c r="J621" s="0" t="n">
        <v>76</v>
      </c>
      <c r="K621" s="3" t="s">
        <v>24</v>
      </c>
      <c r="L621" s="3" t="n">
        <f aca="false">IF(D621="","",IF(D621-C621&lt;0,"",D621-C621))</f>
        <v>19</v>
      </c>
      <c r="M621" s="4" t="n">
        <f aca="false">G621*I621</f>
        <v>23650.2</v>
      </c>
      <c r="N621" s="5" t="n">
        <f aca="false">IF(J621="","",J621/G621*100)</f>
        <v>12.0634920634921</v>
      </c>
      <c r="O621" s="5" t="n">
        <f aca="false">(H621-I621)/H621*100</f>
        <v>6.77924012912839</v>
      </c>
      <c r="P621" s="3" t="n">
        <f aca="false">IF(OR(F621="Delivered",F621="Partially Delivered"),1,0)</f>
        <v>1</v>
      </c>
      <c r="Q621" s="3" t="n">
        <f aca="false">IF(F621="Cancelled",1,0)</f>
        <v>0</v>
      </c>
      <c r="R621" s="3" t="n">
        <f aca="false">IF(K621="Yes",1,0)</f>
        <v>1</v>
      </c>
    </row>
    <row r="622" customFormat="false" ht="15" hidden="false" customHeight="false" outlineLevel="0" collapsed="false">
      <c r="A622" s="0" t="s">
        <v>1238</v>
      </c>
      <c r="B622" s="0" t="s">
        <v>26</v>
      </c>
      <c r="C622" s="2" t="s">
        <v>28</v>
      </c>
      <c r="D622" s="2" t="s">
        <v>1239</v>
      </c>
      <c r="E622" s="3" t="s">
        <v>22</v>
      </c>
      <c r="F622" s="3" t="s">
        <v>29</v>
      </c>
      <c r="G622" s="0" t="n">
        <v>839</v>
      </c>
      <c r="H622" s="4" t="n">
        <v>86.29</v>
      </c>
      <c r="I622" s="4" t="n">
        <v>82.51</v>
      </c>
      <c r="J622" s="0" t="n">
        <v>110</v>
      </c>
      <c r="K622" s="3" t="s">
        <v>24</v>
      </c>
      <c r="L622" s="3" t="n">
        <f aca="false">IF(D622="","",IF(D622-C622&lt;0,"",D622-C622))</f>
        <v>1</v>
      </c>
      <c r="M622" s="4" t="n">
        <f aca="false">G622*I622</f>
        <v>69225.89</v>
      </c>
      <c r="N622" s="5" t="n">
        <f aca="false">IF(J622="","",J622/G622*100)</f>
        <v>13.1108462455304</v>
      </c>
      <c r="O622" s="5" t="n">
        <f aca="false">(H622-I622)/H622*100</f>
        <v>4.3805771236528</v>
      </c>
      <c r="P622" s="3" t="n">
        <f aca="false">IF(OR(F622="Delivered",F622="Partially Delivered"),1,0)</f>
        <v>1</v>
      </c>
      <c r="Q622" s="3" t="n">
        <f aca="false">IF(F622="Cancelled",1,0)</f>
        <v>0</v>
      </c>
      <c r="R622" s="3" t="n">
        <f aca="false">IF(K622="Yes",1,0)</f>
        <v>1</v>
      </c>
    </row>
    <row r="623" customFormat="false" ht="15" hidden="false" customHeight="false" outlineLevel="0" collapsed="false">
      <c r="A623" s="0" t="s">
        <v>1240</v>
      </c>
      <c r="B623" s="0" t="s">
        <v>19</v>
      </c>
      <c r="C623" s="2" t="s">
        <v>558</v>
      </c>
      <c r="D623" s="2" t="s">
        <v>523</v>
      </c>
      <c r="E623" s="3" t="s">
        <v>71</v>
      </c>
      <c r="F623" s="3" t="s">
        <v>29</v>
      </c>
      <c r="G623" s="0" t="n">
        <v>910</v>
      </c>
      <c r="H623" s="4" t="n">
        <v>14.33</v>
      </c>
      <c r="I623" s="4" t="n">
        <v>14.07</v>
      </c>
      <c r="J623" s="0" t="n">
        <v>27</v>
      </c>
      <c r="K623" s="3" t="s">
        <v>24</v>
      </c>
      <c r="L623" s="3" t="n">
        <f aca="false">IF(D623="","",IF(D623-C623&lt;0,"",D623-C623))</f>
        <v>19</v>
      </c>
      <c r="M623" s="4" t="n">
        <f aca="false">G623*I623</f>
        <v>12803.7</v>
      </c>
      <c r="N623" s="5" t="n">
        <f aca="false">IF(J623="","",J623/G623*100)</f>
        <v>2.96703296703297</v>
      </c>
      <c r="O623" s="5" t="n">
        <f aca="false">(H623-I623)/H623*100</f>
        <v>1.81437543614794</v>
      </c>
      <c r="P623" s="3" t="n">
        <f aca="false">IF(OR(F623="Delivered",F623="Partially Delivered"),1,0)</f>
        <v>1</v>
      </c>
      <c r="Q623" s="3" t="n">
        <f aca="false">IF(F623="Cancelled",1,0)</f>
        <v>0</v>
      </c>
      <c r="R623" s="3" t="n">
        <f aca="false">IF(K623="Yes",1,0)</f>
        <v>1</v>
      </c>
    </row>
    <row r="624" customFormat="false" ht="15" hidden="false" customHeight="false" outlineLevel="0" collapsed="false">
      <c r="A624" s="0" t="s">
        <v>1241</v>
      </c>
      <c r="B624" s="0" t="s">
        <v>46</v>
      </c>
      <c r="C624" s="2" t="s">
        <v>1242</v>
      </c>
      <c r="D624" s="2" t="s">
        <v>685</v>
      </c>
      <c r="E624" s="3" t="s">
        <v>43</v>
      </c>
      <c r="F624" s="3" t="s">
        <v>29</v>
      </c>
      <c r="G624" s="0" t="n">
        <v>296</v>
      </c>
      <c r="H624" s="4" t="n">
        <v>64.94</v>
      </c>
      <c r="I624" s="4" t="n">
        <v>63.61</v>
      </c>
      <c r="K624" s="3" t="s">
        <v>24</v>
      </c>
      <c r="L624" s="3" t="n">
        <f aca="false">IF(D624="","",IF(D624-C624&lt;0,"",D624-C624))</f>
        <v>7</v>
      </c>
      <c r="M624" s="4" t="n">
        <f aca="false">G624*I624</f>
        <v>18828.56</v>
      </c>
      <c r="N624" s="5" t="str">
        <f aca="false">IF(J624="","",J624/G624*100)</f>
        <v/>
      </c>
      <c r="O624" s="5" t="n">
        <f aca="false">(H624-I624)/H624*100</f>
        <v>2.0480443486295</v>
      </c>
      <c r="P624" s="3" t="n">
        <f aca="false">IF(OR(F624="Delivered",F624="Partially Delivered"),1,0)</f>
        <v>1</v>
      </c>
      <c r="Q624" s="3" t="n">
        <f aca="false">IF(F624="Cancelled",1,0)</f>
        <v>0</v>
      </c>
      <c r="R624" s="3" t="n">
        <f aca="false">IF(K624="Yes",1,0)</f>
        <v>1</v>
      </c>
    </row>
    <row r="625" customFormat="false" ht="15" hidden="false" customHeight="false" outlineLevel="0" collapsed="false">
      <c r="A625" s="0" t="s">
        <v>1243</v>
      </c>
      <c r="B625" s="0" t="s">
        <v>36</v>
      </c>
      <c r="C625" s="2" t="s">
        <v>437</v>
      </c>
      <c r="D625" s="2" t="s">
        <v>1244</v>
      </c>
      <c r="E625" s="3" t="s">
        <v>34</v>
      </c>
      <c r="F625" s="3" t="s">
        <v>29</v>
      </c>
      <c r="G625" s="0" t="n">
        <v>1149</v>
      </c>
      <c r="H625" s="4" t="n">
        <v>33</v>
      </c>
      <c r="I625" s="4" t="n">
        <v>30.65</v>
      </c>
      <c r="J625" s="0" t="n">
        <v>141</v>
      </c>
      <c r="K625" s="3" t="s">
        <v>24</v>
      </c>
      <c r="L625" s="3" t="n">
        <f aca="false">IF(D625="","",IF(D625-C625&lt;0,"",D625-C625))</f>
        <v>14</v>
      </c>
      <c r="M625" s="4" t="n">
        <f aca="false">G625*I625</f>
        <v>35216.85</v>
      </c>
      <c r="N625" s="5" t="n">
        <f aca="false">IF(J625="","",J625/G625*100)</f>
        <v>12.2715404699739</v>
      </c>
      <c r="O625" s="5" t="n">
        <f aca="false">(H625-I625)/H625*100</f>
        <v>7.12121212121213</v>
      </c>
      <c r="P625" s="3" t="n">
        <f aca="false">IF(OR(F625="Delivered",F625="Partially Delivered"),1,0)</f>
        <v>1</v>
      </c>
      <c r="Q625" s="3" t="n">
        <f aca="false">IF(F625="Cancelled",1,0)</f>
        <v>0</v>
      </c>
      <c r="R625" s="3" t="n">
        <f aca="false">IF(K625="Yes",1,0)</f>
        <v>1</v>
      </c>
    </row>
    <row r="626" customFormat="false" ht="15" hidden="false" customHeight="false" outlineLevel="0" collapsed="false">
      <c r="A626" s="0" t="s">
        <v>1245</v>
      </c>
      <c r="B626" s="0" t="s">
        <v>26</v>
      </c>
      <c r="C626" s="2" t="s">
        <v>889</v>
      </c>
      <c r="D626" s="2" t="s">
        <v>1179</v>
      </c>
      <c r="E626" s="3" t="s">
        <v>71</v>
      </c>
      <c r="F626" s="3" t="s">
        <v>29</v>
      </c>
      <c r="G626" s="0" t="n">
        <v>203</v>
      </c>
      <c r="H626" s="4" t="n">
        <v>23.14</v>
      </c>
      <c r="I626" s="4" t="n">
        <v>20</v>
      </c>
      <c r="K626" s="3" t="s">
        <v>44</v>
      </c>
      <c r="L626" s="3" t="n">
        <f aca="false">IF(D626="","",IF(D626-C626&lt;0,"",D626-C626))</f>
        <v>1</v>
      </c>
      <c r="M626" s="4" t="n">
        <f aca="false">G626*I626</f>
        <v>4060</v>
      </c>
      <c r="N626" s="5" t="str">
        <f aca="false">IF(J626="","",J626/G626*100)</f>
        <v/>
      </c>
      <c r="O626" s="5" t="n">
        <f aca="false">(H626-I626)/H626*100</f>
        <v>13.5695764909248</v>
      </c>
      <c r="P626" s="3" t="n">
        <f aca="false">IF(OR(F626="Delivered",F626="Partially Delivered"),1,0)</f>
        <v>1</v>
      </c>
      <c r="Q626" s="3" t="n">
        <f aca="false">IF(F626="Cancelled",1,0)</f>
        <v>0</v>
      </c>
      <c r="R626" s="3" t="n">
        <f aca="false">IF(K626="Yes",1,0)</f>
        <v>0</v>
      </c>
    </row>
    <row r="627" customFormat="false" ht="15" hidden="false" customHeight="false" outlineLevel="0" collapsed="false">
      <c r="A627" s="0" t="s">
        <v>1246</v>
      </c>
      <c r="B627" s="0" t="s">
        <v>46</v>
      </c>
      <c r="C627" s="2" t="s">
        <v>475</v>
      </c>
      <c r="D627" s="2" t="s">
        <v>476</v>
      </c>
      <c r="E627" s="3" t="s">
        <v>22</v>
      </c>
      <c r="F627" s="3" t="s">
        <v>29</v>
      </c>
      <c r="G627" s="0" t="n">
        <v>1729</v>
      </c>
      <c r="H627" s="4" t="n">
        <v>18.36</v>
      </c>
      <c r="I627" s="4" t="n">
        <v>16.34</v>
      </c>
      <c r="J627" s="0" t="n">
        <v>47</v>
      </c>
      <c r="K627" s="3" t="s">
        <v>24</v>
      </c>
      <c r="L627" s="3" t="n">
        <f aca="false">IF(D627="","",IF(D627-C627&lt;0,"",D627-C627))</f>
        <v>18</v>
      </c>
      <c r="M627" s="4" t="n">
        <f aca="false">G627*I627</f>
        <v>28251.86</v>
      </c>
      <c r="N627" s="5" t="n">
        <f aca="false">IF(J627="","",J627/G627*100)</f>
        <v>2.71833429728167</v>
      </c>
      <c r="O627" s="5" t="n">
        <f aca="false">(H627-I627)/H627*100</f>
        <v>11.0021786492375</v>
      </c>
      <c r="P627" s="3" t="n">
        <f aca="false">IF(OR(F627="Delivered",F627="Partially Delivered"),1,0)</f>
        <v>1</v>
      </c>
      <c r="Q627" s="3" t="n">
        <f aca="false">IF(F627="Cancelled",1,0)</f>
        <v>0</v>
      </c>
      <c r="R627" s="3" t="n">
        <f aca="false">IF(K627="Yes",1,0)</f>
        <v>1</v>
      </c>
    </row>
    <row r="628" customFormat="false" ht="15" hidden="false" customHeight="false" outlineLevel="0" collapsed="false">
      <c r="A628" s="0" t="s">
        <v>1247</v>
      </c>
      <c r="B628" s="0" t="s">
        <v>26</v>
      </c>
      <c r="C628" s="2" t="s">
        <v>1248</v>
      </c>
      <c r="D628" s="2" t="s">
        <v>504</v>
      </c>
      <c r="E628" s="3" t="s">
        <v>22</v>
      </c>
      <c r="F628" s="3" t="s">
        <v>29</v>
      </c>
      <c r="G628" s="0" t="n">
        <v>1508</v>
      </c>
      <c r="H628" s="4" t="n">
        <v>79.21</v>
      </c>
      <c r="I628" s="4" t="n">
        <v>73.27</v>
      </c>
      <c r="J628" s="0" t="n">
        <v>226</v>
      </c>
      <c r="K628" s="3" t="s">
        <v>24</v>
      </c>
      <c r="L628" s="3" t="n">
        <f aca="false">IF(D628="","",IF(D628-C628&lt;0,"",D628-C628))</f>
        <v>10</v>
      </c>
      <c r="M628" s="4" t="n">
        <f aca="false">G628*I628</f>
        <v>110491.16</v>
      </c>
      <c r="N628" s="5" t="n">
        <f aca="false">IF(J628="","",J628/G628*100)</f>
        <v>14.9867374005305</v>
      </c>
      <c r="O628" s="5" t="n">
        <f aca="false">(H628-I628)/H628*100</f>
        <v>7.49905314985482</v>
      </c>
      <c r="P628" s="3" t="n">
        <f aca="false">IF(OR(F628="Delivered",F628="Partially Delivered"),1,0)</f>
        <v>1</v>
      </c>
      <c r="Q628" s="3" t="n">
        <f aca="false">IF(F628="Cancelled",1,0)</f>
        <v>0</v>
      </c>
      <c r="R628" s="3" t="n">
        <f aca="false">IF(K628="Yes",1,0)</f>
        <v>1</v>
      </c>
    </row>
    <row r="629" customFormat="false" ht="15" hidden="false" customHeight="false" outlineLevel="0" collapsed="false">
      <c r="A629" s="0" t="s">
        <v>1249</v>
      </c>
      <c r="B629" s="0" t="s">
        <v>26</v>
      </c>
      <c r="C629" s="2" t="s">
        <v>784</v>
      </c>
      <c r="D629" s="2" t="s">
        <v>1250</v>
      </c>
      <c r="E629" s="3" t="s">
        <v>39</v>
      </c>
      <c r="F629" s="3" t="s">
        <v>58</v>
      </c>
      <c r="G629" s="0" t="n">
        <v>1046</v>
      </c>
      <c r="H629" s="4" t="n">
        <v>44.65</v>
      </c>
      <c r="I629" s="4" t="n">
        <v>40.1</v>
      </c>
      <c r="J629" s="0" t="n">
        <v>165</v>
      </c>
      <c r="K629" s="3" t="s">
        <v>44</v>
      </c>
      <c r="L629" s="3" t="n">
        <f aca="false">IF(D629="","",IF(D629-C629&lt;0,"",D629-C629))</f>
        <v>13</v>
      </c>
      <c r="M629" s="4" t="n">
        <f aca="false">G629*I629</f>
        <v>41944.6</v>
      </c>
      <c r="N629" s="5" t="n">
        <f aca="false">IF(J629="","",J629/G629*100)</f>
        <v>15.774378585086</v>
      </c>
      <c r="O629" s="5" t="n">
        <f aca="false">(H629-I629)/H629*100</f>
        <v>10.1903695408735</v>
      </c>
      <c r="P629" s="3" t="n">
        <f aca="false">IF(OR(F629="Delivered",F629="Partially Delivered"),1,0)</f>
        <v>1</v>
      </c>
      <c r="Q629" s="3" t="n">
        <f aca="false">IF(F629="Cancelled",1,0)</f>
        <v>0</v>
      </c>
      <c r="R629" s="3" t="n">
        <f aca="false">IF(K629="Yes",1,0)</f>
        <v>0</v>
      </c>
    </row>
    <row r="630" customFormat="false" ht="15" hidden="false" customHeight="false" outlineLevel="0" collapsed="false">
      <c r="A630" s="0" t="s">
        <v>1251</v>
      </c>
      <c r="B630" s="0" t="s">
        <v>19</v>
      </c>
      <c r="C630" s="2" t="s">
        <v>457</v>
      </c>
      <c r="D630" s="2" t="s">
        <v>837</v>
      </c>
      <c r="E630" s="3" t="s">
        <v>22</v>
      </c>
      <c r="F630" s="3" t="s">
        <v>29</v>
      </c>
      <c r="G630" s="0" t="n">
        <v>1159</v>
      </c>
      <c r="H630" s="4" t="n">
        <v>78.99</v>
      </c>
      <c r="I630" s="4" t="n">
        <v>71.69</v>
      </c>
      <c r="J630" s="0" t="n">
        <v>14</v>
      </c>
      <c r="K630" s="3" t="s">
        <v>24</v>
      </c>
      <c r="L630" s="3" t="n">
        <f aca="false">IF(D630="","",IF(D630-C630&lt;0,"",D630-C630))</f>
        <v>3</v>
      </c>
      <c r="M630" s="4" t="n">
        <f aca="false">G630*I630</f>
        <v>83088.71</v>
      </c>
      <c r="N630" s="5" t="n">
        <f aca="false">IF(J630="","",J630/G630*100)</f>
        <v>1.20793787748059</v>
      </c>
      <c r="O630" s="5" t="n">
        <f aca="false">(H630-I630)/H630*100</f>
        <v>9.24167616153943</v>
      </c>
      <c r="P630" s="3" t="n">
        <f aca="false">IF(OR(F630="Delivered",F630="Partially Delivered"),1,0)</f>
        <v>1</v>
      </c>
      <c r="Q630" s="3" t="n">
        <f aca="false">IF(F630="Cancelled",1,0)</f>
        <v>0</v>
      </c>
      <c r="R630" s="3" t="n">
        <f aca="false">IF(K630="Yes",1,0)</f>
        <v>1</v>
      </c>
    </row>
    <row r="631" customFormat="false" ht="15" hidden="false" customHeight="false" outlineLevel="0" collapsed="false">
      <c r="A631" s="0" t="s">
        <v>1252</v>
      </c>
      <c r="B631" s="0" t="s">
        <v>36</v>
      </c>
      <c r="C631" s="2" t="s">
        <v>697</v>
      </c>
      <c r="D631" s="2" t="s">
        <v>115</v>
      </c>
      <c r="E631" s="3" t="s">
        <v>71</v>
      </c>
      <c r="F631" s="3" t="s">
        <v>29</v>
      </c>
      <c r="G631" s="0" t="n">
        <v>746</v>
      </c>
      <c r="H631" s="4" t="n">
        <v>16.99</v>
      </c>
      <c r="I631" s="4" t="n">
        <v>15.35</v>
      </c>
      <c r="J631" s="0" t="n">
        <v>69</v>
      </c>
      <c r="K631" s="3" t="s">
        <v>44</v>
      </c>
      <c r="L631" s="3" t="n">
        <f aca="false">IF(D631="","",IF(D631-C631&lt;0,"",D631-C631))</f>
        <v>6</v>
      </c>
      <c r="M631" s="4" t="n">
        <f aca="false">G631*I631</f>
        <v>11451.1</v>
      </c>
      <c r="N631" s="5" t="n">
        <f aca="false">IF(J631="","",J631/G631*100)</f>
        <v>9.24932975871314</v>
      </c>
      <c r="O631" s="5" t="n">
        <f aca="false">(H631-I631)/H631*100</f>
        <v>9.65273690406121</v>
      </c>
      <c r="P631" s="3" t="n">
        <f aca="false">IF(OR(F631="Delivered",F631="Partially Delivered"),1,0)</f>
        <v>1</v>
      </c>
      <c r="Q631" s="3" t="n">
        <f aca="false">IF(F631="Cancelled",1,0)</f>
        <v>0</v>
      </c>
      <c r="R631" s="3" t="n">
        <f aca="false">IF(K631="Yes",1,0)</f>
        <v>0</v>
      </c>
    </row>
    <row r="632" customFormat="false" ht="15" hidden="false" customHeight="false" outlineLevel="0" collapsed="false">
      <c r="A632" s="0" t="s">
        <v>1253</v>
      </c>
      <c r="B632" s="0" t="s">
        <v>36</v>
      </c>
      <c r="C632" s="2" t="s">
        <v>536</v>
      </c>
      <c r="D632" s="2" t="s">
        <v>187</v>
      </c>
      <c r="E632" s="3" t="s">
        <v>39</v>
      </c>
      <c r="F632" s="3" t="s">
        <v>29</v>
      </c>
      <c r="G632" s="0" t="n">
        <v>1358</v>
      </c>
      <c r="H632" s="4" t="n">
        <v>42.21</v>
      </c>
      <c r="I632" s="4" t="n">
        <v>38.75</v>
      </c>
      <c r="J632" s="0" t="n">
        <v>128</v>
      </c>
      <c r="K632" s="3" t="s">
        <v>24</v>
      </c>
      <c r="L632" s="3" t="n">
        <f aca="false">IF(D632="","",IF(D632-C632&lt;0,"",D632-C632))</f>
        <v>16</v>
      </c>
      <c r="M632" s="4" t="n">
        <f aca="false">G632*I632</f>
        <v>52622.5</v>
      </c>
      <c r="N632" s="5" t="n">
        <f aca="false">IF(J632="","",J632/G632*100)</f>
        <v>9.42562592047128</v>
      </c>
      <c r="O632" s="5" t="n">
        <f aca="false">(H632-I632)/H632*100</f>
        <v>8.197109689647</v>
      </c>
      <c r="P632" s="3" t="n">
        <f aca="false">IF(OR(F632="Delivered",F632="Partially Delivered"),1,0)</f>
        <v>1</v>
      </c>
      <c r="Q632" s="3" t="n">
        <f aca="false">IF(F632="Cancelled",1,0)</f>
        <v>0</v>
      </c>
      <c r="R632" s="3" t="n">
        <f aca="false">IF(K632="Yes",1,0)</f>
        <v>1</v>
      </c>
    </row>
    <row r="633" customFormat="false" ht="15" hidden="false" customHeight="false" outlineLevel="0" collapsed="false">
      <c r="A633" s="0" t="s">
        <v>1254</v>
      </c>
      <c r="B633" s="0" t="s">
        <v>31</v>
      </c>
      <c r="C633" s="2" t="s">
        <v>511</v>
      </c>
      <c r="D633" s="2" t="s">
        <v>1177</v>
      </c>
      <c r="E633" s="3" t="s">
        <v>22</v>
      </c>
      <c r="F633" s="3" t="s">
        <v>29</v>
      </c>
      <c r="G633" s="0" t="n">
        <v>1293</v>
      </c>
      <c r="H633" s="4" t="n">
        <v>63.53</v>
      </c>
      <c r="I633" s="4" t="n">
        <v>59.42</v>
      </c>
      <c r="J633" s="0" t="n">
        <v>79</v>
      </c>
      <c r="K633" s="3" t="s">
        <v>24</v>
      </c>
      <c r="L633" s="3" t="n">
        <f aca="false">IF(D633="","",IF(D633-C633&lt;0,"",D633-C633))</f>
        <v>11</v>
      </c>
      <c r="M633" s="4" t="n">
        <f aca="false">G633*I633</f>
        <v>76830.06</v>
      </c>
      <c r="N633" s="5" t="n">
        <f aca="false">IF(J633="","",J633/G633*100)</f>
        <v>6.10982211910286</v>
      </c>
      <c r="O633" s="5" t="n">
        <f aca="false">(H633-I633)/H633*100</f>
        <v>6.46938454273572</v>
      </c>
      <c r="P633" s="3" t="n">
        <f aca="false">IF(OR(F633="Delivered",F633="Partially Delivered"),1,0)</f>
        <v>1</v>
      </c>
      <c r="Q633" s="3" t="n">
        <f aca="false">IF(F633="Cancelled",1,0)</f>
        <v>0</v>
      </c>
      <c r="R633" s="3" t="n">
        <f aca="false">IF(K633="Yes",1,0)</f>
        <v>1</v>
      </c>
    </row>
    <row r="634" customFormat="false" ht="15" hidden="false" customHeight="false" outlineLevel="0" collapsed="false">
      <c r="A634" s="0" t="s">
        <v>1255</v>
      </c>
      <c r="B634" s="0" t="s">
        <v>19</v>
      </c>
      <c r="C634" s="2" t="s">
        <v>388</v>
      </c>
      <c r="D634" s="2" t="s">
        <v>1256</v>
      </c>
      <c r="E634" s="3" t="s">
        <v>71</v>
      </c>
      <c r="F634" s="3" t="s">
        <v>29</v>
      </c>
      <c r="G634" s="0" t="n">
        <v>1142</v>
      </c>
      <c r="H634" s="4" t="n">
        <v>86.85</v>
      </c>
      <c r="I634" s="4" t="n">
        <v>74.28</v>
      </c>
      <c r="J634" s="0" t="n">
        <v>30</v>
      </c>
      <c r="K634" s="3" t="s">
        <v>24</v>
      </c>
      <c r="L634" s="3" t="n">
        <f aca="false">IF(D634="","",IF(D634-C634&lt;0,"",D634-C634))</f>
        <v>11</v>
      </c>
      <c r="M634" s="4" t="n">
        <f aca="false">G634*I634</f>
        <v>84827.76</v>
      </c>
      <c r="N634" s="5" t="n">
        <f aca="false">IF(J634="","",J634/G634*100)</f>
        <v>2.62697022767075</v>
      </c>
      <c r="O634" s="5" t="n">
        <f aca="false">(H634-I634)/H634*100</f>
        <v>14.4732297063903</v>
      </c>
      <c r="P634" s="3" t="n">
        <f aca="false">IF(OR(F634="Delivered",F634="Partially Delivered"),1,0)</f>
        <v>1</v>
      </c>
      <c r="Q634" s="3" t="n">
        <f aca="false">IF(F634="Cancelled",1,0)</f>
        <v>0</v>
      </c>
      <c r="R634" s="3" t="n">
        <f aca="false">IF(K634="Yes",1,0)</f>
        <v>1</v>
      </c>
    </row>
    <row r="635" customFormat="false" ht="15" hidden="false" customHeight="false" outlineLevel="0" collapsed="false">
      <c r="A635" s="0" t="s">
        <v>1257</v>
      </c>
      <c r="B635" s="0" t="s">
        <v>46</v>
      </c>
      <c r="C635" s="2" t="s">
        <v>476</v>
      </c>
      <c r="D635" s="2" t="s">
        <v>1248</v>
      </c>
      <c r="E635" s="3" t="s">
        <v>34</v>
      </c>
      <c r="F635" s="3" t="s">
        <v>29</v>
      </c>
      <c r="G635" s="0" t="n">
        <v>1120</v>
      </c>
      <c r="H635" s="4" t="n">
        <v>42.17</v>
      </c>
      <c r="I635" s="4" t="n">
        <v>37.47</v>
      </c>
      <c r="J635" s="0" t="n">
        <v>33</v>
      </c>
      <c r="K635" s="3" t="s">
        <v>24</v>
      </c>
      <c r="L635" s="3" t="n">
        <f aca="false">IF(D635="","",IF(D635-C635&lt;0,"",D635-C635))</f>
        <v>11</v>
      </c>
      <c r="M635" s="4" t="n">
        <f aca="false">G635*I635</f>
        <v>41966.4</v>
      </c>
      <c r="N635" s="5" t="n">
        <f aca="false">IF(J635="","",J635/G635*100)</f>
        <v>2.94642857142857</v>
      </c>
      <c r="O635" s="5" t="n">
        <f aca="false">(H635-I635)/H635*100</f>
        <v>11.1453640028456</v>
      </c>
      <c r="P635" s="3" t="n">
        <f aca="false">IF(OR(F635="Delivered",F635="Partially Delivered"),1,0)</f>
        <v>1</v>
      </c>
      <c r="Q635" s="3" t="n">
        <f aca="false">IF(F635="Cancelled",1,0)</f>
        <v>0</v>
      </c>
      <c r="R635" s="3" t="n">
        <f aca="false">IF(K635="Yes",1,0)</f>
        <v>1</v>
      </c>
    </row>
    <row r="636" customFormat="false" ht="15" hidden="false" customHeight="false" outlineLevel="0" collapsed="false">
      <c r="A636" s="0" t="s">
        <v>1258</v>
      </c>
      <c r="B636" s="0" t="s">
        <v>19</v>
      </c>
      <c r="C636" s="2" t="s">
        <v>1259</v>
      </c>
      <c r="D636" s="2" t="s">
        <v>834</v>
      </c>
      <c r="E636" s="3" t="s">
        <v>34</v>
      </c>
      <c r="F636" s="3" t="s">
        <v>29</v>
      </c>
      <c r="G636" s="0" t="n">
        <v>1058</v>
      </c>
      <c r="H636" s="4" t="n">
        <v>71.3</v>
      </c>
      <c r="I636" s="4" t="n">
        <v>62.04</v>
      </c>
      <c r="K636" s="3" t="s">
        <v>24</v>
      </c>
      <c r="L636" s="3" t="n">
        <f aca="false">IF(D636="","",IF(D636-C636&lt;0,"",D636-C636))</f>
        <v>12</v>
      </c>
      <c r="M636" s="4" t="n">
        <f aca="false">G636*I636</f>
        <v>65638.32</v>
      </c>
      <c r="N636" s="5" t="str">
        <f aca="false">IF(J636="","",J636/G636*100)</f>
        <v/>
      </c>
      <c r="O636" s="5" t="n">
        <f aca="false">(H636-I636)/H636*100</f>
        <v>12.9873772791024</v>
      </c>
      <c r="P636" s="3" t="n">
        <f aca="false">IF(OR(F636="Delivered",F636="Partially Delivered"),1,0)</f>
        <v>1</v>
      </c>
      <c r="Q636" s="3" t="n">
        <f aca="false">IF(F636="Cancelled",1,0)</f>
        <v>0</v>
      </c>
      <c r="R636" s="3" t="n">
        <f aca="false">IF(K636="Yes",1,0)</f>
        <v>1</v>
      </c>
    </row>
    <row r="637" customFormat="false" ht="15" hidden="false" customHeight="false" outlineLevel="0" collapsed="false">
      <c r="A637" s="0" t="s">
        <v>1260</v>
      </c>
      <c r="B637" s="0" t="s">
        <v>46</v>
      </c>
      <c r="C637" s="2" t="s">
        <v>969</v>
      </c>
      <c r="D637" s="2"/>
      <c r="E637" s="3" t="s">
        <v>22</v>
      </c>
      <c r="F637" s="3" t="s">
        <v>29</v>
      </c>
      <c r="G637" s="0" t="n">
        <v>143</v>
      </c>
      <c r="H637" s="4" t="n">
        <v>91.98</v>
      </c>
      <c r="I637" s="4" t="n">
        <v>86.02</v>
      </c>
      <c r="J637" s="0" t="n">
        <v>5</v>
      </c>
      <c r="K637" s="3" t="s">
        <v>24</v>
      </c>
      <c r="L637" s="0" t="str">
        <f aca="false">IF(D637="","",IF(D637-C637&lt;0,"",D637-C637))</f>
        <v/>
      </c>
      <c r="M637" s="4" t="n">
        <f aca="false">G637*I637</f>
        <v>12300.86</v>
      </c>
      <c r="N637" s="5" t="n">
        <f aca="false">IF(J637="","",J637/G637*100)</f>
        <v>3.4965034965035</v>
      </c>
      <c r="O637" s="5" t="n">
        <f aca="false">(H637-I637)/H637*100</f>
        <v>6.47966949336813</v>
      </c>
      <c r="P637" s="3" t="n">
        <f aca="false">IF(OR(F637="Delivered",F637="Partially Delivered"),1,0)</f>
        <v>1</v>
      </c>
      <c r="Q637" s="3" t="n">
        <f aca="false">IF(F637="Cancelled",1,0)</f>
        <v>0</v>
      </c>
      <c r="R637" s="3" t="n">
        <f aca="false">IF(K637="Yes",1,0)</f>
        <v>1</v>
      </c>
    </row>
    <row r="638" customFormat="false" ht="15" hidden="false" customHeight="false" outlineLevel="0" collapsed="false">
      <c r="A638" s="0" t="s">
        <v>1261</v>
      </c>
      <c r="B638" s="0" t="s">
        <v>36</v>
      </c>
      <c r="C638" s="2" t="s">
        <v>523</v>
      </c>
      <c r="D638" s="2" t="s">
        <v>748</v>
      </c>
      <c r="E638" s="3" t="s">
        <v>34</v>
      </c>
      <c r="F638" s="3" t="s">
        <v>29</v>
      </c>
      <c r="G638" s="0" t="n">
        <v>1823</v>
      </c>
      <c r="H638" s="4" t="n">
        <v>70.66</v>
      </c>
      <c r="I638" s="4" t="n">
        <v>66.92</v>
      </c>
      <c r="J638" s="0" t="n">
        <v>202</v>
      </c>
      <c r="K638" s="3" t="s">
        <v>24</v>
      </c>
      <c r="L638" s="3" t="n">
        <f aca="false">IF(D638="","",IF(D638-C638&lt;0,"",D638-C638))</f>
        <v>12</v>
      </c>
      <c r="M638" s="4" t="n">
        <f aca="false">G638*I638</f>
        <v>121995.16</v>
      </c>
      <c r="N638" s="5" t="n">
        <f aca="false">IF(J638="","",J638/G638*100)</f>
        <v>11.0806363137685</v>
      </c>
      <c r="O638" s="5" t="n">
        <f aca="false">(H638-I638)/H638*100</f>
        <v>5.29295216529861</v>
      </c>
      <c r="P638" s="3" t="n">
        <f aca="false">IF(OR(F638="Delivered",F638="Partially Delivered"),1,0)</f>
        <v>1</v>
      </c>
      <c r="Q638" s="3" t="n">
        <f aca="false">IF(F638="Cancelled",1,0)</f>
        <v>0</v>
      </c>
      <c r="R638" s="3" t="n">
        <f aca="false">IF(K638="Yes",1,0)</f>
        <v>1</v>
      </c>
    </row>
    <row r="639" customFormat="false" ht="15" hidden="false" customHeight="false" outlineLevel="0" collapsed="false">
      <c r="A639" s="0" t="s">
        <v>1262</v>
      </c>
      <c r="B639" s="0" t="s">
        <v>31</v>
      </c>
      <c r="C639" s="2" t="s">
        <v>698</v>
      </c>
      <c r="D639" s="2" t="s">
        <v>228</v>
      </c>
      <c r="E639" s="3" t="s">
        <v>22</v>
      </c>
      <c r="F639" s="3" t="s">
        <v>29</v>
      </c>
      <c r="G639" s="0" t="n">
        <v>1007</v>
      </c>
      <c r="H639" s="4" t="n">
        <v>33.29</v>
      </c>
      <c r="I639" s="4" t="n">
        <v>28.48</v>
      </c>
      <c r="J639" s="0" t="n">
        <v>49</v>
      </c>
      <c r="K639" s="3" t="s">
        <v>24</v>
      </c>
      <c r="L639" s="3" t="n">
        <f aca="false">IF(D639="","",IF(D639-C639&lt;0,"",D639-C639))</f>
        <v>4</v>
      </c>
      <c r="M639" s="4" t="n">
        <f aca="false">G639*I639</f>
        <v>28679.36</v>
      </c>
      <c r="N639" s="5" t="n">
        <f aca="false">IF(J639="","",J639/G639*100)</f>
        <v>4.86593843098312</v>
      </c>
      <c r="O639" s="5" t="n">
        <f aca="false">(H639-I639)/H639*100</f>
        <v>14.448783418444</v>
      </c>
      <c r="P639" s="3" t="n">
        <f aca="false">IF(OR(F639="Delivered",F639="Partially Delivered"),1,0)</f>
        <v>1</v>
      </c>
      <c r="Q639" s="3" t="n">
        <f aca="false">IF(F639="Cancelled",1,0)</f>
        <v>0</v>
      </c>
      <c r="R639" s="3" t="n">
        <f aca="false">IF(K639="Yes",1,0)</f>
        <v>1</v>
      </c>
    </row>
    <row r="640" customFormat="false" ht="15" hidden="false" customHeight="false" outlineLevel="0" collapsed="false">
      <c r="A640" s="0" t="s">
        <v>1263</v>
      </c>
      <c r="B640" s="0" t="s">
        <v>31</v>
      </c>
      <c r="C640" s="2" t="s">
        <v>1264</v>
      </c>
      <c r="D640" s="2" t="s">
        <v>1265</v>
      </c>
      <c r="E640" s="3" t="s">
        <v>39</v>
      </c>
      <c r="F640" s="3" t="s">
        <v>29</v>
      </c>
      <c r="G640" s="0" t="n">
        <v>1061</v>
      </c>
      <c r="H640" s="4" t="n">
        <v>12.68</v>
      </c>
      <c r="I640" s="4" t="n">
        <v>12.36</v>
      </c>
      <c r="J640" s="0" t="n">
        <v>56</v>
      </c>
      <c r="K640" s="3" t="s">
        <v>44</v>
      </c>
      <c r="L640" s="3" t="n">
        <f aca="false">IF(D640="","",IF(D640-C640&lt;0,"",D640-C640))</f>
        <v>15</v>
      </c>
      <c r="M640" s="4" t="n">
        <f aca="false">G640*I640</f>
        <v>13113.96</v>
      </c>
      <c r="N640" s="5" t="n">
        <f aca="false">IF(J640="","",J640/G640*100)</f>
        <v>5.27803958529689</v>
      </c>
      <c r="O640" s="5" t="n">
        <f aca="false">(H640-I640)/H640*100</f>
        <v>2.52365930599369</v>
      </c>
      <c r="P640" s="3" t="n">
        <f aca="false">IF(OR(F640="Delivered",F640="Partially Delivered"),1,0)</f>
        <v>1</v>
      </c>
      <c r="Q640" s="3" t="n">
        <f aca="false">IF(F640="Cancelled",1,0)</f>
        <v>0</v>
      </c>
      <c r="R640" s="3" t="n">
        <f aca="false">IF(K640="Yes",1,0)</f>
        <v>0</v>
      </c>
    </row>
    <row r="641" customFormat="false" ht="15" hidden="false" customHeight="false" outlineLevel="0" collapsed="false">
      <c r="A641" s="0" t="s">
        <v>1266</v>
      </c>
      <c r="B641" s="0" t="s">
        <v>36</v>
      </c>
      <c r="C641" s="2" t="s">
        <v>568</v>
      </c>
      <c r="D641" s="2" t="s">
        <v>943</v>
      </c>
      <c r="E641" s="3" t="s">
        <v>34</v>
      </c>
      <c r="F641" s="3" t="s">
        <v>62</v>
      </c>
      <c r="G641" s="0" t="n">
        <v>502</v>
      </c>
      <c r="H641" s="4" t="n">
        <v>91.84</v>
      </c>
      <c r="I641" s="4" t="n">
        <v>82.33</v>
      </c>
      <c r="K641" s="3" t="s">
        <v>24</v>
      </c>
      <c r="L641" s="3" t="n">
        <f aca="false">IF(D641="","",IF(D641-C641&lt;0,"",D641-C641))</f>
        <v>15</v>
      </c>
      <c r="M641" s="4" t="n">
        <f aca="false">G641*I641</f>
        <v>41329.66</v>
      </c>
      <c r="N641" s="5" t="str">
        <f aca="false">IF(J641="","",J641/G641*100)</f>
        <v/>
      </c>
      <c r="O641" s="5" t="n">
        <f aca="false">(H641-I641)/H641*100</f>
        <v>10.3549651567944</v>
      </c>
      <c r="P641" s="3" t="n">
        <f aca="false">IF(OR(F641="Delivered",F641="Partially Delivered"),1,0)</f>
        <v>0</v>
      </c>
      <c r="Q641" s="3" t="n">
        <f aca="false">IF(F641="Cancelled",1,0)</f>
        <v>0</v>
      </c>
      <c r="R641" s="3" t="n">
        <f aca="false">IF(K641="Yes",1,0)</f>
        <v>1</v>
      </c>
    </row>
    <row r="642" customFormat="false" ht="15" hidden="false" customHeight="false" outlineLevel="0" collapsed="false">
      <c r="A642" s="0" t="s">
        <v>1267</v>
      </c>
      <c r="B642" s="0" t="s">
        <v>26</v>
      </c>
      <c r="C642" s="2" t="s">
        <v>941</v>
      </c>
      <c r="D642" s="2" t="s">
        <v>423</v>
      </c>
      <c r="E642" s="3" t="s">
        <v>39</v>
      </c>
      <c r="F642" s="3" t="s">
        <v>29</v>
      </c>
      <c r="G642" s="0" t="n">
        <v>1277</v>
      </c>
      <c r="H642" s="4" t="n">
        <v>13.17</v>
      </c>
      <c r="I642" s="4" t="n">
        <v>11.63</v>
      </c>
      <c r="J642" s="0" t="n">
        <v>199</v>
      </c>
      <c r="K642" s="3" t="s">
        <v>44</v>
      </c>
      <c r="L642" s="3" t="n">
        <f aca="false">IF(D642="","",IF(D642-C642&lt;0,"",D642-C642))</f>
        <v>4</v>
      </c>
      <c r="M642" s="4" t="n">
        <f aca="false">G642*I642</f>
        <v>14851.51</v>
      </c>
      <c r="N642" s="5" t="n">
        <f aca="false">IF(J642="","",J642/G642*100)</f>
        <v>15.5833985904464</v>
      </c>
      <c r="O642" s="5" t="n">
        <f aca="false">(H642-I642)/H642*100</f>
        <v>11.6932422171602</v>
      </c>
      <c r="P642" s="3" t="n">
        <f aca="false">IF(OR(F642="Delivered",F642="Partially Delivered"),1,0)</f>
        <v>1</v>
      </c>
      <c r="Q642" s="3" t="n">
        <f aca="false">IF(F642="Cancelled",1,0)</f>
        <v>0</v>
      </c>
      <c r="R642" s="3" t="n">
        <f aca="false">IF(K642="Yes",1,0)</f>
        <v>0</v>
      </c>
    </row>
    <row r="643" customFormat="false" ht="15" hidden="false" customHeight="false" outlineLevel="0" collapsed="false">
      <c r="A643" s="0" t="s">
        <v>1268</v>
      </c>
      <c r="B643" s="0" t="s">
        <v>19</v>
      </c>
      <c r="C643" s="2" t="s">
        <v>421</v>
      </c>
      <c r="D643" s="2" t="s">
        <v>216</v>
      </c>
      <c r="E643" s="3" t="s">
        <v>39</v>
      </c>
      <c r="F643" s="3" t="s">
        <v>29</v>
      </c>
      <c r="G643" s="0" t="n">
        <v>961</v>
      </c>
      <c r="H643" s="4" t="n">
        <v>92.72</v>
      </c>
      <c r="I643" s="4" t="n">
        <v>88.49</v>
      </c>
      <c r="J643" s="0" t="n">
        <v>22</v>
      </c>
      <c r="K643" s="3" t="s">
        <v>24</v>
      </c>
      <c r="L643" s="3" t="n">
        <f aca="false">IF(D643="","",IF(D643-C643&lt;0,"",D643-C643))</f>
        <v>13</v>
      </c>
      <c r="M643" s="4" t="n">
        <f aca="false">G643*I643</f>
        <v>85038.89</v>
      </c>
      <c r="N643" s="5" t="n">
        <f aca="false">IF(J643="","",J643/G643*100)</f>
        <v>2.28928199791883</v>
      </c>
      <c r="O643" s="5" t="n">
        <f aca="false">(H643-I643)/H643*100</f>
        <v>4.56212251941329</v>
      </c>
      <c r="P643" s="3" t="n">
        <f aca="false">IF(OR(F643="Delivered",F643="Partially Delivered"),1,0)</f>
        <v>1</v>
      </c>
      <c r="Q643" s="3" t="n">
        <f aca="false">IF(F643="Cancelled",1,0)</f>
        <v>0</v>
      </c>
      <c r="R643" s="3" t="n">
        <f aca="false">IF(K643="Yes",1,0)</f>
        <v>1</v>
      </c>
    </row>
    <row r="644" customFormat="false" ht="15" hidden="false" customHeight="false" outlineLevel="0" collapsed="false">
      <c r="A644" s="0" t="s">
        <v>1269</v>
      </c>
      <c r="B644" s="0" t="s">
        <v>31</v>
      </c>
      <c r="C644" s="2" t="s">
        <v>1270</v>
      </c>
      <c r="D644" s="2" t="s">
        <v>1271</v>
      </c>
      <c r="E644" s="3" t="s">
        <v>39</v>
      </c>
      <c r="F644" s="3" t="s">
        <v>29</v>
      </c>
      <c r="G644" s="0" t="n">
        <v>267</v>
      </c>
      <c r="H644" s="4" t="n">
        <v>62.5</v>
      </c>
      <c r="I644" s="4" t="n">
        <v>61.18</v>
      </c>
      <c r="J644" s="0" t="n">
        <v>17</v>
      </c>
      <c r="K644" s="3" t="s">
        <v>24</v>
      </c>
      <c r="L644" s="3" t="n">
        <f aca="false">IF(D644="","",IF(D644-C644&lt;0,"",D644-C644))</f>
        <v>14</v>
      </c>
      <c r="M644" s="4" t="n">
        <f aca="false">G644*I644</f>
        <v>16335.06</v>
      </c>
      <c r="N644" s="5" t="n">
        <f aca="false">IF(J644="","",J644/G644*100)</f>
        <v>6.36704119850187</v>
      </c>
      <c r="O644" s="5" t="n">
        <f aca="false">(H644-I644)/H644*100</f>
        <v>2.112</v>
      </c>
      <c r="P644" s="3" t="n">
        <f aca="false">IF(OR(F644="Delivered",F644="Partially Delivered"),1,0)</f>
        <v>1</v>
      </c>
      <c r="Q644" s="3" t="n">
        <f aca="false">IF(F644="Cancelled",1,0)</f>
        <v>0</v>
      </c>
      <c r="R644" s="3" t="n">
        <f aca="false">IF(K644="Yes",1,0)</f>
        <v>1</v>
      </c>
    </row>
    <row r="645" customFormat="false" ht="15" hidden="false" customHeight="false" outlineLevel="0" collapsed="false">
      <c r="A645" s="0" t="s">
        <v>1272</v>
      </c>
      <c r="B645" s="0" t="s">
        <v>26</v>
      </c>
      <c r="C645" s="2" t="s">
        <v>1273</v>
      </c>
      <c r="D645" s="2" t="s">
        <v>1274</v>
      </c>
      <c r="E645" s="3" t="s">
        <v>43</v>
      </c>
      <c r="F645" s="3" t="s">
        <v>23</v>
      </c>
      <c r="G645" s="0" t="n">
        <v>523</v>
      </c>
      <c r="H645" s="4" t="n">
        <v>102.08</v>
      </c>
      <c r="I645" s="4" t="n">
        <v>99.59</v>
      </c>
      <c r="K645" s="3" t="s">
        <v>24</v>
      </c>
      <c r="L645" s="3" t="n">
        <f aca="false">IF(D645="","",IF(D645-C645&lt;0,"",D645-C645))</f>
        <v>6</v>
      </c>
      <c r="M645" s="4" t="n">
        <f aca="false">G645*I645</f>
        <v>52085.57</v>
      </c>
      <c r="N645" s="5" t="str">
        <f aca="false">IF(J645="","",J645/G645*100)</f>
        <v/>
      </c>
      <c r="O645" s="5" t="n">
        <f aca="false">(H645-I645)/H645*100</f>
        <v>2.43926332288401</v>
      </c>
      <c r="P645" s="3" t="n">
        <f aca="false">IF(OR(F645="Delivered",F645="Partially Delivered"),1,0)</f>
        <v>0</v>
      </c>
      <c r="Q645" s="3" t="n">
        <f aca="false">IF(F645="Cancelled",1,0)</f>
        <v>1</v>
      </c>
      <c r="R645" s="3" t="n">
        <f aca="false">IF(K645="Yes",1,0)</f>
        <v>1</v>
      </c>
    </row>
    <row r="646" customFormat="false" ht="15" hidden="false" customHeight="false" outlineLevel="0" collapsed="false">
      <c r="A646" s="0" t="s">
        <v>1275</v>
      </c>
      <c r="B646" s="0" t="s">
        <v>46</v>
      </c>
      <c r="C646" s="2" t="s">
        <v>1276</v>
      </c>
      <c r="D646" s="2" t="s">
        <v>262</v>
      </c>
      <c r="E646" s="3" t="s">
        <v>71</v>
      </c>
      <c r="F646" s="3" t="s">
        <v>62</v>
      </c>
      <c r="G646" s="0" t="n">
        <v>481</v>
      </c>
      <c r="H646" s="4" t="n">
        <v>90.49</v>
      </c>
      <c r="I646" s="4" t="n">
        <v>77.17</v>
      </c>
      <c r="K646" s="3" t="s">
        <v>24</v>
      </c>
      <c r="L646" s="3" t="n">
        <f aca="false">IF(D646="","",IF(D646-C646&lt;0,"",D646-C646))</f>
        <v>19</v>
      </c>
      <c r="M646" s="4" t="n">
        <f aca="false">G646*I646</f>
        <v>37118.77</v>
      </c>
      <c r="N646" s="5" t="str">
        <f aca="false">IF(J646="","",J646/G646*100)</f>
        <v/>
      </c>
      <c r="O646" s="5" t="n">
        <f aca="false">(H646-I646)/H646*100</f>
        <v>14.7198585479058</v>
      </c>
      <c r="P646" s="3" t="n">
        <f aca="false">IF(OR(F646="Delivered",F646="Partially Delivered"),1,0)</f>
        <v>0</v>
      </c>
      <c r="Q646" s="3" t="n">
        <f aca="false">IF(F646="Cancelled",1,0)</f>
        <v>0</v>
      </c>
      <c r="R646" s="3" t="n">
        <f aca="false">IF(K646="Yes",1,0)</f>
        <v>1</v>
      </c>
    </row>
    <row r="647" customFormat="false" ht="15" hidden="false" customHeight="false" outlineLevel="0" collapsed="false">
      <c r="A647" s="0" t="s">
        <v>1277</v>
      </c>
      <c r="B647" s="0" t="s">
        <v>31</v>
      </c>
      <c r="C647" s="2" t="s">
        <v>823</v>
      </c>
      <c r="D647" s="2" t="s">
        <v>1278</v>
      </c>
      <c r="E647" s="3" t="s">
        <v>22</v>
      </c>
      <c r="F647" s="3" t="s">
        <v>29</v>
      </c>
      <c r="G647" s="0" t="n">
        <v>390</v>
      </c>
      <c r="H647" s="4" t="n">
        <v>103.81</v>
      </c>
      <c r="I647" s="4" t="n">
        <v>100.12</v>
      </c>
      <c r="J647" s="0" t="n">
        <v>20</v>
      </c>
      <c r="K647" s="3" t="s">
        <v>24</v>
      </c>
      <c r="L647" s="3" t="n">
        <f aca="false">IF(D647="","",IF(D647-C647&lt;0,"",D647-C647))</f>
        <v>7</v>
      </c>
      <c r="M647" s="4" t="n">
        <f aca="false">G647*I647</f>
        <v>39046.8</v>
      </c>
      <c r="N647" s="5" t="n">
        <f aca="false">IF(J647="","",J647/G647*100)</f>
        <v>5.12820512820513</v>
      </c>
      <c r="O647" s="5" t="n">
        <f aca="false">(H647-I647)/H647*100</f>
        <v>3.55457085059243</v>
      </c>
      <c r="P647" s="3" t="n">
        <f aca="false">IF(OR(F647="Delivered",F647="Partially Delivered"),1,0)</f>
        <v>1</v>
      </c>
      <c r="Q647" s="3" t="n">
        <f aca="false">IF(F647="Cancelled",1,0)</f>
        <v>0</v>
      </c>
      <c r="R647" s="3" t="n">
        <f aca="false">IF(K647="Yes",1,0)</f>
        <v>1</v>
      </c>
    </row>
    <row r="648" customFormat="false" ht="15" hidden="false" customHeight="false" outlineLevel="0" collapsed="false">
      <c r="A648" s="0" t="s">
        <v>1279</v>
      </c>
      <c r="B648" s="0" t="s">
        <v>46</v>
      </c>
      <c r="C648" s="2" t="s">
        <v>37</v>
      </c>
      <c r="D648" s="2" t="s">
        <v>1280</v>
      </c>
      <c r="E648" s="3" t="s">
        <v>39</v>
      </c>
      <c r="F648" s="3" t="s">
        <v>29</v>
      </c>
      <c r="G648" s="0" t="n">
        <v>600</v>
      </c>
      <c r="H648" s="4" t="n">
        <v>43.43</v>
      </c>
      <c r="I648" s="4" t="n">
        <v>38.76</v>
      </c>
      <c r="J648" s="0" t="n">
        <v>22</v>
      </c>
      <c r="K648" s="3" t="s">
        <v>24</v>
      </c>
      <c r="L648" s="3" t="n">
        <f aca="false">IF(D648="","",IF(D648-C648&lt;0,"",D648-C648))</f>
        <v>16</v>
      </c>
      <c r="M648" s="4" t="n">
        <f aca="false">G648*I648</f>
        <v>23256</v>
      </c>
      <c r="N648" s="5" t="n">
        <f aca="false">IF(J648="","",J648/G648*100)</f>
        <v>3.66666666666667</v>
      </c>
      <c r="O648" s="5" t="n">
        <f aca="false">(H648-I648)/H648*100</f>
        <v>10.7529357586922</v>
      </c>
      <c r="P648" s="3" t="n">
        <f aca="false">IF(OR(F648="Delivered",F648="Partially Delivered"),1,0)</f>
        <v>1</v>
      </c>
      <c r="Q648" s="3" t="n">
        <f aca="false">IF(F648="Cancelled",1,0)</f>
        <v>0</v>
      </c>
      <c r="R648" s="3" t="n">
        <f aca="false">IF(K648="Yes",1,0)</f>
        <v>1</v>
      </c>
    </row>
    <row r="649" customFormat="false" ht="15" hidden="false" customHeight="false" outlineLevel="0" collapsed="false">
      <c r="A649" s="0" t="s">
        <v>1281</v>
      </c>
      <c r="B649" s="0" t="s">
        <v>26</v>
      </c>
      <c r="C649" s="2" t="s">
        <v>1282</v>
      </c>
      <c r="D649" s="2"/>
      <c r="E649" s="3" t="s">
        <v>22</v>
      </c>
      <c r="F649" s="3" t="s">
        <v>29</v>
      </c>
      <c r="G649" s="0" t="n">
        <v>1685</v>
      </c>
      <c r="H649" s="4" t="n">
        <v>84.58</v>
      </c>
      <c r="I649" s="4" t="n">
        <v>75.21</v>
      </c>
      <c r="J649" s="0" t="n">
        <v>253</v>
      </c>
      <c r="K649" s="3" t="s">
        <v>44</v>
      </c>
      <c r="L649" s="0" t="str">
        <f aca="false">IF(D649="","",IF(D649-C649&lt;0,"",D649-C649))</f>
        <v/>
      </c>
      <c r="M649" s="4" t="n">
        <f aca="false">G649*I649</f>
        <v>126728.85</v>
      </c>
      <c r="N649" s="5" t="n">
        <f aca="false">IF(J649="","",J649/G649*100)</f>
        <v>15.0148367952522</v>
      </c>
      <c r="O649" s="5" t="n">
        <f aca="false">(H649-I649)/H649*100</f>
        <v>11.0782690943486</v>
      </c>
      <c r="P649" s="3" t="n">
        <f aca="false">IF(OR(F649="Delivered",F649="Partially Delivered"),1,0)</f>
        <v>1</v>
      </c>
      <c r="Q649" s="3" t="n">
        <f aca="false">IF(F649="Cancelled",1,0)</f>
        <v>0</v>
      </c>
      <c r="R649" s="3" t="n">
        <f aca="false">IF(K649="Yes",1,0)</f>
        <v>0</v>
      </c>
    </row>
    <row r="650" customFormat="false" ht="15" hidden="false" customHeight="false" outlineLevel="0" collapsed="false">
      <c r="A650" s="0" t="s">
        <v>1283</v>
      </c>
      <c r="B650" s="0" t="s">
        <v>46</v>
      </c>
      <c r="C650" s="2" t="s">
        <v>1284</v>
      </c>
      <c r="D650" s="2" t="s">
        <v>64</v>
      </c>
      <c r="E650" s="3" t="s">
        <v>39</v>
      </c>
      <c r="F650" s="3" t="s">
        <v>23</v>
      </c>
      <c r="G650" s="0" t="n">
        <v>1362</v>
      </c>
      <c r="H650" s="4" t="n">
        <v>46.64</v>
      </c>
      <c r="I650" s="4" t="n">
        <v>42.85</v>
      </c>
      <c r="J650" s="0" t="n">
        <v>33</v>
      </c>
      <c r="K650" s="3" t="s">
        <v>24</v>
      </c>
      <c r="L650" s="3" t="n">
        <f aca="false">IF(D650="","",IF(D650-C650&lt;0,"",D650-C650))</f>
        <v>10</v>
      </c>
      <c r="M650" s="4" t="n">
        <f aca="false">G650*I650</f>
        <v>58361.7</v>
      </c>
      <c r="N650" s="5" t="n">
        <f aca="false">IF(J650="","",J650/G650*100)</f>
        <v>2.42290748898678</v>
      </c>
      <c r="O650" s="5" t="n">
        <f aca="false">(H650-I650)/H650*100</f>
        <v>8.12607204116638</v>
      </c>
      <c r="P650" s="3" t="n">
        <f aca="false">IF(OR(F650="Delivered",F650="Partially Delivered"),1,0)</f>
        <v>0</v>
      </c>
      <c r="Q650" s="3" t="n">
        <f aca="false">IF(F650="Cancelled",1,0)</f>
        <v>1</v>
      </c>
      <c r="R650" s="3" t="n">
        <f aca="false">IF(K650="Yes",1,0)</f>
        <v>1</v>
      </c>
    </row>
    <row r="651" customFormat="false" ht="15" hidden="false" customHeight="false" outlineLevel="0" collapsed="false">
      <c r="A651" s="0" t="s">
        <v>1285</v>
      </c>
      <c r="B651" s="0" t="s">
        <v>26</v>
      </c>
      <c r="C651" s="2" t="s">
        <v>106</v>
      </c>
      <c r="D651" s="2" t="s">
        <v>596</v>
      </c>
      <c r="E651" s="3" t="s">
        <v>71</v>
      </c>
      <c r="F651" s="3" t="s">
        <v>62</v>
      </c>
      <c r="G651" s="0" t="n">
        <v>1327</v>
      </c>
      <c r="H651" s="4" t="n">
        <v>59.57</v>
      </c>
      <c r="I651" s="4" t="n">
        <v>56.44</v>
      </c>
      <c r="J651" s="0" t="n">
        <v>169</v>
      </c>
      <c r="K651" s="3" t="s">
        <v>24</v>
      </c>
      <c r="L651" s="3" t="n">
        <f aca="false">IF(D651="","",IF(D651-C651&lt;0,"",D651-C651))</f>
        <v>3</v>
      </c>
      <c r="M651" s="4" t="n">
        <f aca="false">G651*I651</f>
        <v>74895.88</v>
      </c>
      <c r="N651" s="5" t="n">
        <f aca="false">IF(J651="","",J651/G651*100)</f>
        <v>12.7354935945742</v>
      </c>
      <c r="O651" s="5" t="n">
        <f aca="false">(H651-I651)/H651*100</f>
        <v>5.254322645627</v>
      </c>
      <c r="P651" s="3" t="n">
        <f aca="false">IF(OR(F651="Delivered",F651="Partially Delivered"),1,0)</f>
        <v>0</v>
      </c>
      <c r="Q651" s="3" t="n">
        <f aca="false">IF(F651="Cancelled",1,0)</f>
        <v>0</v>
      </c>
      <c r="R651" s="3" t="n">
        <f aca="false">IF(K651="Yes",1,0)</f>
        <v>1</v>
      </c>
    </row>
    <row r="652" customFormat="false" ht="15" hidden="false" customHeight="false" outlineLevel="0" collapsed="false">
      <c r="A652" s="0" t="s">
        <v>1286</v>
      </c>
      <c r="B652" s="0" t="s">
        <v>46</v>
      </c>
      <c r="C652" s="2" t="s">
        <v>739</v>
      </c>
      <c r="D652" s="2"/>
      <c r="E652" s="3" t="s">
        <v>34</v>
      </c>
      <c r="F652" s="3" t="s">
        <v>29</v>
      </c>
      <c r="G652" s="0" t="n">
        <v>1807</v>
      </c>
      <c r="H652" s="4" t="n">
        <v>69.47</v>
      </c>
      <c r="I652" s="4" t="n">
        <v>60</v>
      </c>
      <c r="J652" s="0" t="n">
        <v>50</v>
      </c>
      <c r="K652" s="3" t="s">
        <v>24</v>
      </c>
      <c r="L652" s="0" t="str">
        <f aca="false">IF(D652="","",IF(D652-C652&lt;0,"",D652-C652))</f>
        <v/>
      </c>
      <c r="M652" s="4" t="n">
        <f aca="false">G652*I652</f>
        <v>108420</v>
      </c>
      <c r="N652" s="5" t="n">
        <f aca="false">IF(J652="","",J652/G652*100)</f>
        <v>2.76701715550636</v>
      </c>
      <c r="O652" s="5" t="n">
        <f aca="false">(H652-I652)/H652*100</f>
        <v>13.6317835036706</v>
      </c>
      <c r="P652" s="3" t="n">
        <f aca="false">IF(OR(F652="Delivered",F652="Partially Delivered"),1,0)</f>
        <v>1</v>
      </c>
      <c r="Q652" s="3" t="n">
        <f aca="false">IF(F652="Cancelled",1,0)</f>
        <v>0</v>
      </c>
      <c r="R652" s="3" t="n">
        <f aca="false">IF(K652="Yes",1,0)</f>
        <v>1</v>
      </c>
    </row>
    <row r="653" customFormat="false" ht="15" hidden="false" customHeight="false" outlineLevel="0" collapsed="false">
      <c r="A653" s="0" t="s">
        <v>1287</v>
      </c>
      <c r="B653" s="0" t="s">
        <v>19</v>
      </c>
      <c r="C653" s="2" t="s">
        <v>48</v>
      </c>
      <c r="D653" s="2" t="s">
        <v>631</v>
      </c>
      <c r="E653" s="3" t="s">
        <v>22</v>
      </c>
      <c r="F653" s="3" t="s">
        <v>62</v>
      </c>
      <c r="G653" s="0" t="n">
        <v>406</v>
      </c>
      <c r="H653" s="4" t="n">
        <v>91.73</v>
      </c>
      <c r="I653" s="4" t="n">
        <v>89.13</v>
      </c>
      <c r="K653" s="3" t="s">
        <v>24</v>
      </c>
      <c r="L653" s="3" t="n">
        <f aca="false">IF(D653="","",IF(D653-C653&lt;0,"",D653-C653))</f>
        <v>8</v>
      </c>
      <c r="M653" s="4" t="n">
        <f aca="false">G653*I653</f>
        <v>36186.78</v>
      </c>
      <c r="N653" s="5" t="str">
        <f aca="false">IF(J653="","",J653/G653*100)</f>
        <v/>
      </c>
      <c r="O653" s="5" t="n">
        <f aca="false">(H653-I653)/H653*100</f>
        <v>2.83440531996076</v>
      </c>
      <c r="P653" s="3" t="n">
        <f aca="false">IF(OR(F653="Delivered",F653="Partially Delivered"),1,0)</f>
        <v>0</v>
      </c>
      <c r="Q653" s="3" t="n">
        <f aca="false">IF(F653="Cancelled",1,0)</f>
        <v>0</v>
      </c>
      <c r="R653" s="3" t="n">
        <f aca="false">IF(K653="Yes",1,0)</f>
        <v>1</v>
      </c>
    </row>
    <row r="654" customFormat="false" ht="15" hidden="false" customHeight="false" outlineLevel="0" collapsed="false">
      <c r="A654" s="0" t="s">
        <v>1288</v>
      </c>
      <c r="B654" s="0" t="s">
        <v>31</v>
      </c>
      <c r="C654" s="2" t="s">
        <v>906</v>
      </c>
      <c r="D654" s="2" t="s">
        <v>1013</v>
      </c>
      <c r="E654" s="3" t="s">
        <v>43</v>
      </c>
      <c r="F654" s="3" t="s">
        <v>58</v>
      </c>
      <c r="G654" s="0" t="n">
        <v>72</v>
      </c>
      <c r="H654" s="4" t="n">
        <v>103</v>
      </c>
      <c r="I654" s="4" t="n">
        <v>89.49</v>
      </c>
      <c r="J654" s="0" t="n">
        <v>1</v>
      </c>
      <c r="K654" s="3" t="s">
        <v>44</v>
      </c>
      <c r="L654" s="3" t="n">
        <f aca="false">IF(D654="","",IF(D654-C654&lt;0,"",D654-C654))</f>
        <v>12</v>
      </c>
      <c r="M654" s="4" t="n">
        <f aca="false">G654*I654</f>
        <v>6443.28</v>
      </c>
      <c r="N654" s="5" t="n">
        <f aca="false">IF(J654="","",J654/G654*100)</f>
        <v>1.38888888888889</v>
      </c>
      <c r="O654" s="5" t="n">
        <f aca="false">(H654-I654)/H654*100</f>
        <v>13.1165048543689</v>
      </c>
      <c r="P654" s="3" t="n">
        <f aca="false">IF(OR(F654="Delivered",F654="Partially Delivered"),1,0)</f>
        <v>1</v>
      </c>
      <c r="Q654" s="3" t="n">
        <f aca="false">IF(F654="Cancelled",1,0)</f>
        <v>0</v>
      </c>
      <c r="R654" s="3" t="n">
        <f aca="false">IF(K654="Yes",1,0)</f>
        <v>0</v>
      </c>
    </row>
    <row r="655" customFormat="false" ht="15" hidden="false" customHeight="false" outlineLevel="0" collapsed="false">
      <c r="A655" s="0" t="s">
        <v>1289</v>
      </c>
      <c r="B655" s="0" t="s">
        <v>31</v>
      </c>
      <c r="C655" s="2" t="s">
        <v>302</v>
      </c>
      <c r="D655" s="2" t="s">
        <v>607</v>
      </c>
      <c r="E655" s="3" t="s">
        <v>22</v>
      </c>
      <c r="F655" s="3" t="s">
        <v>29</v>
      </c>
      <c r="G655" s="0" t="n">
        <v>1835</v>
      </c>
      <c r="H655" s="4" t="n">
        <v>83.5</v>
      </c>
      <c r="I655" s="4" t="n">
        <v>82.36</v>
      </c>
      <c r="J655" s="0" t="n">
        <v>85</v>
      </c>
      <c r="K655" s="3" t="s">
        <v>44</v>
      </c>
      <c r="L655" s="3" t="n">
        <f aca="false">IF(D655="","",IF(D655-C655&lt;0,"",D655-C655))</f>
        <v>10</v>
      </c>
      <c r="M655" s="4" t="n">
        <f aca="false">G655*I655</f>
        <v>151130.6</v>
      </c>
      <c r="N655" s="5" t="n">
        <f aca="false">IF(J655="","",J655/G655*100)</f>
        <v>4.63215258855586</v>
      </c>
      <c r="O655" s="5" t="n">
        <f aca="false">(H655-I655)/H655*100</f>
        <v>1.36526946107785</v>
      </c>
      <c r="P655" s="3" t="n">
        <f aca="false">IF(OR(F655="Delivered",F655="Partially Delivered"),1,0)</f>
        <v>1</v>
      </c>
      <c r="Q655" s="3" t="n">
        <f aca="false">IF(F655="Cancelled",1,0)</f>
        <v>0</v>
      </c>
      <c r="R655" s="3" t="n">
        <f aca="false">IF(K655="Yes",1,0)</f>
        <v>0</v>
      </c>
    </row>
    <row r="656" customFormat="false" ht="15" hidden="false" customHeight="false" outlineLevel="0" collapsed="false">
      <c r="A656" s="0" t="s">
        <v>1290</v>
      </c>
      <c r="B656" s="0" t="s">
        <v>26</v>
      </c>
      <c r="C656" s="2" t="s">
        <v>837</v>
      </c>
      <c r="D656" s="2" t="s">
        <v>302</v>
      </c>
      <c r="E656" s="3" t="s">
        <v>71</v>
      </c>
      <c r="F656" s="3" t="s">
        <v>62</v>
      </c>
      <c r="G656" s="0" t="n">
        <v>571</v>
      </c>
      <c r="H656" s="4" t="n">
        <v>49.98</v>
      </c>
      <c r="I656" s="4" t="n">
        <v>45.58</v>
      </c>
      <c r="K656" s="3" t="s">
        <v>44</v>
      </c>
      <c r="L656" s="3" t="n">
        <f aca="false">IF(D656="","",IF(D656-C656&lt;0,"",D656-C656))</f>
        <v>16</v>
      </c>
      <c r="M656" s="4" t="n">
        <f aca="false">G656*I656</f>
        <v>26026.18</v>
      </c>
      <c r="N656" s="5" t="str">
        <f aca="false">IF(J656="","",J656/G656*100)</f>
        <v/>
      </c>
      <c r="O656" s="5" t="n">
        <f aca="false">(H656-I656)/H656*100</f>
        <v>8.80352140856342</v>
      </c>
      <c r="P656" s="3" t="n">
        <f aca="false">IF(OR(F656="Delivered",F656="Partially Delivered"),1,0)</f>
        <v>0</v>
      </c>
      <c r="Q656" s="3" t="n">
        <f aca="false">IF(F656="Cancelled",1,0)</f>
        <v>0</v>
      </c>
      <c r="R656" s="3" t="n">
        <f aca="false">IF(K656="Yes",1,0)</f>
        <v>0</v>
      </c>
    </row>
    <row r="657" customFormat="false" ht="15" hidden="false" customHeight="false" outlineLevel="0" collapsed="false">
      <c r="A657" s="0" t="s">
        <v>1291</v>
      </c>
      <c r="B657" s="0" t="s">
        <v>46</v>
      </c>
      <c r="C657" s="2" t="s">
        <v>682</v>
      </c>
      <c r="D657" s="2" t="s">
        <v>268</v>
      </c>
      <c r="E657" s="3" t="s">
        <v>39</v>
      </c>
      <c r="F657" s="3" t="s">
        <v>29</v>
      </c>
      <c r="G657" s="0" t="n">
        <v>1831</v>
      </c>
      <c r="H657" s="4" t="n">
        <v>52.24</v>
      </c>
      <c r="I657" s="4" t="n">
        <v>50.44</v>
      </c>
      <c r="J657" s="0" t="n">
        <v>60</v>
      </c>
      <c r="K657" s="3" t="s">
        <v>24</v>
      </c>
      <c r="L657" s="3" t="n">
        <f aca="false">IF(D657="","",IF(D657-C657&lt;0,"",D657-C657))</f>
        <v>1</v>
      </c>
      <c r="M657" s="4" t="n">
        <f aca="false">G657*I657</f>
        <v>92355.64</v>
      </c>
      <c r="N657" s="5" t="n">
        <f aca="false">IF(J657="","",J657/G657*100)</f>
        <v>3.27689787001638</v>
      </c>
      <c r="O657" s="5" t="n">
        <f aca="false">(H657-I657)/H657*100</f>
        <v>3.44563552833079</v>
      </c>
      <c r="P657" s="3" t="n">
        <f aca="false">IF(OR(F657="Delivered",F657="Partially Delivered"),1,0)</f>
        <v>1</v>
      </c>
      <c r="Q657" s="3" t="n">
        <f aca="false">IF(F657="Cancelled",1,0)</f>
        <v>0</v>
      </c>
      <c r="R657" s="3" t="n">
        <f aca="false">IF(K657="Yes",1,0)</f>
        <v>1</v>
      </c>
    </row>
    <row r="658" customFormat="false" ht="15" hidden="false" customHeight="false" outlineLevel="0" collapsed="false">
      <c r="A658" s="0" t="s">
        <v>1292</v>
      </c>
      <c r="B658" s="0" t="s">
        <v>36</v>
      </c>
      <c r="C658" s="2" t="s">
        <v>780</v>
      </c>
      <c r="D658" s="2" t="s">
        <v>641</v>
      </c>
      <c r="E658" s="3" t="s">
        <v>22</v>
      </c>
      <c r="F658" s="3" t="s">
        <v>62</v>
      </c>
      <c r="G658" s="0" t="n">
        <v>1910</v>
      </c>
      <c r="H658" s="4" t="n">
        <v>77.15</v>
      </c>
      <c r="I658" s="4" t="n">
        <v>68.49</v>
      </c>
      <c r="J658" s="0" t="n">
        <v>170</v>
      </c>
      <c r="K658" s="3" t="s">
        <v>24</v>
      </c>
      <c r="L658" s="3" t="n">
        <f aca="false">IF(D658="","",IF(D658-C658&lt;0,"",D658-C658))</f>
        <v>14</v>
      </c>
      <c r="M658" s="4" t="n">
        <f aca="false">G658*I658</f>
        <v>130815.9</v>
      </c>
      <c r="N658" s="5" t="n">
        <f aca="false">IF(J658="","",J658/G658*100)</f>
        <v>8.90052356020942</v>
      </c>
      <c r="O658" s="5" t="n">
        <f aca="false">(H658-I658)/H658*100</f>
        <v>11.2248865845755</v>
      </c>
      <c r="P658" s="3" t="n">
        <f aca="false">IF(OR(F658="Delivered",F658="Partially Delivered"),1,0)</f>
        <v>0</v>
      </c>
      <c r="Q658" s="3" t="n">
        <f aca="false">IF(F658="Cancelled",1,0)</f>
        <v>0</v>
      </c>
      <c r="R658" s="3" t="n">
        <f aca="false">IF(K658="Yes",1,0)</f>
        <v>1</v>
      </c>
    </row>
    <row r="659" customFormat="false" ht="15" hidden="false" customHeight="false" outlineLevel="0" collapsed="false">
      <c r="A659" s="0" t="s">
        <v>1293</v>
      </c>
      <c r="B659" s="0" t="s">
        <v>31</v>
      </c>
      <c r="C659" s="2" t="s">
        <v>364</v>
      </c>
      <c r="D659" s="2" t="s">
        <v>1191</v>
      </c>
      <c r="E659" s="3" t="s">
        <v>71</v>
      </c>
      <c r="F659" s="3" t="s">
        <v>58</v>
      </c>
      <c r="G659" s="0" t="n">
        <v>1173</v>
      </c>
      <c r="H659" s="4" t="n">
        <v>32.12</v>
      </c>
      <c r="I659" s="4" t="n">
        <v>29.18</v>
      </c>
      <c r="K659" s="3" t="s">
        <v>24</v>
      </c>
      <c r="L659" s="3" t="n">
        <f aca="false">IF(D659="","",IF(D659-C659&lt;0,"",D659-C659))</f>
        <v>9</v>
      </c>
      <c r="M659" s="4" t="n">
        <f aca="false">G659*I659</f>
        <v>34228.14</v>
      </c>
      <c r="N659" s="5" t="str">
        <f aca="false">IF(J659="","",J659/G659*100)</f>
        <v/>
      </c>
      <c r="O659" s="5" t="n">
        <f aca="false">(H659-I659)/H659*100</f>
        <v>9.15317559153175</v>
      </c>
      <c r="P659" s="3" t="n">
        <f aca="false">IF(OR(F659="Delivered",F659="Partially Delivered"),1,0)</f>
        <v>1</v>
      </c>
      <c r="Q659" s="3" t="n">
        <f aca="false">IF(F659="Cancelled",1,0)</f>
        <v>0</v>
      </c>
      <c r="R659" s="3" t="n">
        <f aca="false">IF(K659="Yes",1,0)</f>
        <v>1</v>
      </c>
    </row>
    <row r="660" customFormat="false" ht="15" hidden="false" customHeight="false" outlineLevel="0" collapsed="false">
      <c r="A660" s="0" t="s">
        <v>1294</v>
      </c>
      <c r="B660" s="0" t="s">
        <v>46</v>
      </c>
      <c r="C660" s="2" t="s">
        <v>1295</v>
      </c>
      <c r="D660" s="2" t="s">
        <v>271</v>
      </c>
      <c r="E660" s="3" t="s">
        <v>39</v>
      </c>
      <c r="F660" s="3" t="s">
        <v>58</v>
      </c>
      <c r="G660" s="0" t="n">
        <v>851</v>
      </c>
      <c r="H660" s="4" t="n">
        <v>20.44</v>
      </c>
      <c r="I660" s="4" t="n">
        <v>19.22</v>
      </c>
      <c r="J660" s="0" t="n">
        <v>22</v>
      </c>
      <c r="K660" s="3" t="s">
        <v>24</v>
      </c>
      <c r="L660" s="3" t="n">
        <f aca="false">IF(D660="","",IF(D660-C660&lt;0,"",D660-C660))</f>
        <v>13</v>
      </c>
      <c r="M660" s="4" t="n">
        <f aca="false">G660*I660</f>
        <v>16356.22</v>
      </c>
      <c r="N660" s="5" t="n">
        <f aca="false">IF(J660="","",J660/G660*100)</f>
        <v>2.58519388954172</v>
      </c>
      <c r="O660" s="5" t="n">
        <f aca="false">(H660-I660)/H660*100</f>
        <v>5.96868884540119</v>
      </c>
      <c r="P660" s="3" t="n">
        <f aca="false">IF(OR(F660="Delivered",F660="Partially Delivered"),1,0)</f>
        <v>1</v>
      </c>
      <c r="Q660" s="3" t="n">
        <f aca="false">IF(F660="Cancelled",1,0)</f>
        <v>0</v>
      </c>
      <c r="R660" s="3" t="n">
        <f aca="false">IF(K660="Yes",1,0)</f>
        <v>1</v>
      </c>
    </row>
    <row r="661" customFormat="false" ht="15" hidden="false" customHeight="false" outlineLevel="0" collapsed="false">
      <c r="A661" s="0" t="s">
        <v>1296</v>
      </c>
      <c r="B661" s="0" t="s">
        <v>46</v>
      </c>
      <c r="C661" s="2" t="s">
        <v>214</v>
      </c>
      <c r="D661" s="2" t="s">
        <v>498</v>
      </c>
      <c r="E661" s="3" t="s">
        <v>34</v>
      </c>
      <c r="F661" s="3" t="s">
        <v>23</v>
      </c>
      <c r="G661" s="0" t="n">
        <v>1253</v>
      </c>
      <c r="H661" s="4" t="n">
        <v>43.38</v>
      </c>
      <c r="I661" s="4" t="n">
        <v>38.01</v>
      </c>
      <c r="J661" s="0" t="n">
        <v>34</v>
      </c>
      <c r="K661" s="3" t="s">
        <v>24</v>
      </c>
      <c r="L661" s="3" t="n">
        <f aca="false">IF(D661="","",IF(D661-C661&lt;0,"",D661-C661))</f>
        <v>13</v>
      </c>
      <c r="M661" s="4" t="n">
        <f aca="false">G661*I661</f>
        <v>47626.53</v>
      </c>
      <c r="N661" s="5" t="n">
        <f aca="false">IF(J661="","",J661/G661*100)</f>
        <v>2.71348762968875</v>
      </c>
      <c r="O661" s="5" t="n">
        <f aca="false">(H661-I661)/H661*100</f>
        <v>12.3789764868603</v>
      </c>
      <c r="P661" s="3" t="n">
        <f aca="false">IF(OR(F661="Delivered",F661="Partially Delivered"),1,0)</f>
        <v>0</v>
      </c>
      <c r="Q661" s="3" t="n">
        <f aca="false">IF(F661="Cancelled",1,0)</f>
        <v>1</v>
      </c>
      <c r="R661" s="3" t="n">
        <f aca="false">IF(K661="Yes",1,0)</f>
        <v>1</v>
      </c>
    </row>
    <row r="662" customFormat="false" ht="15" hidden="false" customHeight="false" outlineLevel="0" collapsed="false">
      <c r="A662" s="0" t="s">
        <v>1297</v>
      </c>
      <c r="B662" s="0" t="s">
        <v>19</v>
      </c>
      <c r="C662" s="2" t="s">
        <v>234</v>
      </c>
      <c r="D662" s="2" t="s">
        <v>304</v>
      </c>
      <c r="E662" s="3" t="s">
        <v>71</v>
      </c>
      <c r="F662" s="3" t="s">
        <v>29</v>
      </c>
      <c r="G662" s="0" t="n">
        <v>1296</v>
      </c>
      <c r="H662" s="4" t="n">
        <v>38</v>
      </c>
      <c r="I662" s="4" t="n">
        <v>33.42</v>
      </c>
      <c r="J662" s="0" t="n">
        <v>33</v>
      </c>
      <c r="K662" s="3" t="s">
        <v>24</v>
      </c>
      <c r="L662" s="3" t="n">
        <f aca="false">IF(D662="","",IF(D662-C662&lt;0,"",D662-C662))</f>
        <v>18</v>
      </c>
      <c r="M662" s="4" t="n">
        <f aca="false">G662*I662</f>
        <v>43312.32</v>
      </c>
      <c r="N662" s="5" t="n">
        <f aca="false">IF(J662="","",J662/G662*100)</f>
        <v>2.5462962962963</v>
      </c>
      <c r="O662" s="5" t="n">
        <f aca="false">(H662-I662)/H662*100</f>
        <v>12.0526315789474</v>
      </c>
      <c r="P662" s="3" t="n">
        <f aca="false">IF(OR(F662="Delivered",F662="Partially Delivered"),1,0)</f>
        <v>1</v>
      </c>
      <c r="Q662" s="3" t="n">
        <f aca="false">IF(F662="Cancelled",1,0)</f>
        <v>0</v>
      </c>
      <c r="R662" s="3" t="n">
        <f aca="false">IF(K662="Yes",1,0)</f>
        <v>1</v>
      </c>
    </row>
    <row r="663" customFormat="false" ht="15" hidden="false" customHeight="false" outlineLevel="0" collapsed="false">
      <c r="A663" s="0" t="s">
        <v>1298</v>
      </c>
      <c r="B663" s="0" t="s">
        <v>36</v>
      </c>
      <c r="C663" s="2" t="s">
        <v>1220</v>
      </c>
      <c r="D663" s="2" t="s">
        <v>1210</v>
      </c>
      <c r="E663" s="3" t="s">
        <v>43</v>
      </c>
      <c r="F663" s="3" t="s">
        <v>29</v>
      </c>
      <c r="G663" s="0" t="n">
        <v>1979</v>
      </c>
      <c r="H663" s="4" t="n">
        <v>40.88</v>
      </c>
      <c r="I663" s="4" t="n">
        <v>39.46</v>
      </c>
      <c r="J663" s="0" t="n">
        <v>221</v>
      </c>
      <c r="K663" s="3" t="s">
        <v>24</v>
      </c>
      <c r="L663" s="3" t="n">
        <f aca="false">IF(D663="","",IF(D663-C663&lt;0,"",D663-C663))</f>
        <v>18</v>
      </c>
      <c r="M663" s="4" t="n">
        <f aca="false">G663*I663</f>
        <v>78091.34</v>
      </c>
      <c r="N663" s="5" t="n">
        <f aca="false">IF(J663="","",J663/G663*100)</f>
        <v>11.1672561899949</v>
      </c>
      <c r="O663" s="5" t="n">
        <f aca="false">(H663-I663)/H663*100</f>
        <v>3.47358121330724</v>
      </c>
      <c r="P663" s="3" t="n">
        <f aca="false">IF(OR(F663="Delivered",F663="Partially Delivered"),1,0)</f>
        <v>1</v>
      </c>
      <c r="Q663" s="3" t="n">
        <f aca="false">IF(F663="Cancelled",1,0)</f>
        <v>0</v>
      </c>
      <c r="R663" s="3" t="n">
        <f aca="false">IF(K663="Yes",1,0)</f>
        <v>1</v>
      </c>
    </row>
    <row r="664" customFormat="false" ht="15" hidden="false" customHeight="false" outlineLevel="0" collapsed="false">
      <c r="A664" s="0" t="s">
        <v>1299</v>
      </c>
      <c r="B664" s="0" t="s">
        <v>31</v>
      </c>
      <c r="C664" s="2" t="s">
        <v>379</v>
      </c>
      <c r="D664" s="2" t="s">
        <v>529</v>
      </c>
      <c r="E664" s="3" t="s">
        <v>22</v>
      </c>
      <c r="F664" s="3" t="s">
        <v>29</v>
      </c>
      <c r="G664" s="0" t="n">
        <v>811</v>
      </c>
      <c r="H664" s="4" t="n">
        <v>31.8</v>
      </c>
      <c r="I664" s="4" t="n">
        <v>30.33</v>
      </c>
      <c r="J664" s="0" t="n">
        <v>58</v>
      </c>
      <c r="K664" s="3" t="s">
        <v>24</v>
      </c>
      <c r="L664" s="3" t="n">
        <f aca="false">IF(D664="","",IF(D664-C664&lt;0,"",D664-C664))</f>
        <v>13</v>
      </c>
      <c r="M664" s="4" t="n">
        <f aca="false">G664*I664</f>
        <v>24597.63</v>
      </c>
      <c r="N664" s="5" t="n">
        <f aca="false">IF(J664="","",J664/G664*100)</f>
        <v>7.15166461159063</v>
      </c>
      <c r="O664" s="5" t="n">
        <f aca="false">(H664-I664)/H664*100</f>
        <v>4.62264150943397</v>
      </c>
      <c r="P664" s="3" t="n">
        <f aca="false">IF(OR(F664="Delivered",F664="Partially Delivered"),1,0)</f>
        <v>1</v>
      </c>
      <c r="Q664" s="3" t="n">
        <f aca="false">IF(F664="Cancelled",1,0)</f>
        <v>0</v>
      </c>
      <c r="R664" s="3" t="n">
        <f aca="false">IF(K664="Yes",1,0)</f>
        <v>1</v>
      </c>
    </row>
    <row r="665" customFormat="false" ht="15" hidden="false" customHeight="false" outlineLevel="0" collapsed="false">
      <c r="A665" s="0" t="s">
        <v>1300</v>
      </c>
      <c r="B665" s="0" t="s">
        <v>19</v>
      </c>
      <c r="C665" s="2" t="s">
        <v>1301</v>
      </c>
      <c r="D665" s="2" t="s">
        <v>1302</v>
      </c>
      <c r="E665" s="3" t="s">
        <v>71</v>
      </c>
      <c r="F665" s="3" t="s">
        <v>29</v>
      </c>
      <c r="G665" s="0" t="n">
        <v>1732</v>
      </c>
      <c r="H665" s="4" t="n">
        <v>15.37</v>
      </c>
      <c r="I665" s="4" t="n">
        <v>14.7</v>
      </c>
      <c r="J665" s="0" t="n">
        <v>38</v>
      </c>
      <c r="K665" s="3" t="s">
        <v>24</v>
      </c>
      <c r="L665" s="3" t="n">
        <f aca="false">IF(D665="","",IF(D665-C665&lt;0,"",D665-C665))</f>
        <v>18</v>
      </c>
      <c r="M665" s="4" t="n">
        <f aca="false">G665*I665</f>
        <v>25460.4</v>
      </c>
      <c r="N665" s="5" t="n">
        <f aca="false">IF(J665="","",J665/G665*100)</f>
        <v>2.19399538106236</v>
      </c>
      <c r="O665" s="5" t="n">
        <f aca="false">(H665-I665)/H665*100</f>
        <v>4.35914118412492</v>
      </c>
      <c r="P665" s="3" t="n">
        <f aca="false">IF(OR(F665="Delivered",F665="Partially Delivered"),1,0)</f>
        <v>1</v>
      </c>
      <c r="Q665" s="3" t="n">
        <f aca="false">IF(F665="Cancelled",1,0)</f>
        <v>0</v>
      </c>
      <c r="R665" s="3" t="n">
        <f aca="false">IF(K665="Yes",1,0)</f>
        <v>1</v>
      </c>
    </row>
    <row r="666" customFormat="false" ht="15" hidden="false" customHeight="false" outlineLevel="0" collapsed="false">
      <c r="A666" s="0" t="s">
        <v>1303</v>
      </c>
      <c r="B666" s="0" t="s">
        <v>36</v>
      </c>
      <c r="C666" s="2" t="s">
        <v>100</v>
      </c>
      <c r="D666" s="2" t="s">
        <v>589</v>
      </c>
      <c r="E666" s="3" t="s">
        <v>39</v>
      </c>
      <c r="F666" s="3" t="s">
        <v>29</v>
      </c>
      <c r="G666" s="0" t="n">
        <v>491</v>
      </c>
      <c r="H666" s="4" t="n">
        <v>12.01</v>
      </c>
      <c r="I666" s="4" t="n">
        <v>11.67</v>
      </c>
      <c r="J666" s="0" t="n">
        <v>47</v>
      </c>
      <c r="K666" s="3" t="s">
        <v>24</v>
      </c>
      <c r="L666" s="3" t="n">
        <f aca="false">IF(D666="","",IF(D666-C666&lt;0,"",D666-C666))</f>
        <v>20</v>
      </c>
      <c r="M666" s="4" t="n">
        <f aca="false">G666*I666</f>
        <v>5729.97</v>
      </c>
      <c r="N666" s="5" t="n">
        <f aca="false">IF(J666="","",J666/G666*100)</f>
        <v>9.57230142566191</v>
      </c>
      <c r="O666" s="5" t="n">
        <f aca="false">(H666-I666)/H666*100</f>
        <v>2.83097418817652</v>
      </c>
      <c r="P666" s="3" t="n">
        <f aca="false">IF(OR(F666="Delivered",F666="Partially Delivered"),1,0)</f>
        <v>1</v>
      </c>
      <c r="Q666" s="3" t="n">
        <f aca="false">IF(F666="Cancelled",1,0)</f>
        <v>0</v>
      </c>
      <c r="R666" s="3" t="n">
        <f aca="false">IF(K666="Yes",1,0)</f>
        <v>1</v>
      </c>
    </row>
    <row r="667" customFormat="false" ht="15" hidden="false" customHeight="false" outlineLevel="0" collapsed="false">
      <c r="A667" s="0" t="s">
        <v>1304</v>
      </c>
      <c r="B667" s="0" t="s">
        <v>31</v>
      </c>
      <c r="C667" s="2" t="s">
        <v>392</v>
      </c>
      <c r="D667" s="2" t="s">
        <v>501</v>
      </c>
      <c r="E667" s="3" t="s">
        <v>39</v>
      </c>
      <c r="F667" s="3" t="s">
        <v>23</v>
      </c>
      <c r="G667" s="0" t="n">
        <v>1681</v>
      </c>
      <c r="H667" s="4" t="n">
        <v>99.88</v>
      </c>
      <c r="I667" s="4" t="n">
        <v>96.38</v>
      </c>
      <c r="J667" s="0" t="n">
        <v>90</v>
      </c>
      <c r="K667" s="3" t="s">
        <v>24</v>
      </c>
      <c r="L667" s="3" t="n">
        <f aca="false">IF(D667="","",IF(D667-C667&lt;0,"",D667-C667))</f>
        <v>4</v>
      </c>
      <c r="M667" s="4" t="n">
        <f aca="false">G667*I667</f>
        <v>162014.78</v>
      </c>
      <c r="N667" s="5" t="n">
        <f aca="false">IF(J667="","",J667/G667*100)</f>
        <v>5.35395597858418</v>
      </c>
      <c r="O667" s="5" t="n">
        <f aca="false">(H667-I667)/H667*100</f>
        <v>3.50420504605527</v>
      </c>
      <c r="P667" s="3" t="n">
        <f aca="false">IF(OR(F667="Delivered",F667="Partially Delivered"),1,0)</f>
        <v>0</v>
      </c>
      <c r="Q667" s="3" t="n">
        <f aca="false">IF(F667="Cancelled",1,0)</f>
        <v>1</v>
      </c>
      <c r="R667" s="3" t="n">
        <f aca="false">IF(K667="Yes",1,0)</f>
        <v>1</v>
      </c>
    </row>
    <row r="668" customFormat="false" ht="15" hidden="false" customHeight="false" outlineLevel="0" collapsed="false">
      <c r="A668" s="0" t="s">
        <v>1305</v>
      </c>
      <c r="B668" s="0" t="s">
        <v>19</v>
      </c>
      <c r="C668" s="2" t="s">
        <v>305</v>
      </c>
      <c r="D668" s="2" t="s">
        <v>1306</v>
      </c>
      <c r="E668" s="3" t="s">
        <v>43</v>
      </c>
      <c r="F668" s="3" t="s">
        <v>58</v>
      </c>
      <c r="G668" s="0" t="n">
        <v>818</v>
      </c>
      <c r="H668" s="4" t="n">
        <v>51.89</v>
      </c>
      <c r="I668" s="4" t="n">
        <v>47.85</v>
      </c>
      <c r="J668" s="0" t="n">
        <v>12</v>
      </c>
      <c r="K668" s="3" t="s">
        <v>24</v>
      </c>
      <c r="L668" s="3" t="n">
        <f aca="false">IF(D668="","",IF(D668-C668&lt;0,"",D668-C668))</f>
        <v>4</v>
      </c>
      <c r="M668" s="4" t="n">
        <f aca="false">G668*I668</f>
        <v>39141.3</v>
      </c>
      <c r="N668" s="5" t="n">
        <f aca="false">IF(J668="","",J668/G668*100)</f>
        <v>1.46699266503668</v>
      </c>
      <c r="O668" s="5" t="n">
        <f aca="false">(H668-I668)/H668*100</f>
        <v>7.78570052033147</v>
      </c>
      <c r="P668" s="3" t="n">
        <f aca="false">IF(OR(F668="Delivered",F668="Partially Delivered"),1,0)</f>
        <v>1</v>
      </c>
      <c r="Q668" s="3" t="n">
        <f aca="false">IF(F668="Cancelled",1,0)</f>
        <v>0</v>
      </c>
      <c r="R668" s="3" t="n">
        <f aca="false">IF(K668="Yes",1,0)</f>
        <v>1</v>
      </c>
    </row>
    <row r="669" customFormat="false" ht="15" hidden="false" customHeight="false" outlineLevel="0" collapsed="false">
      <c r="A669" s="0" t="s">
        <v>1307</v>
      </c>
      <c r="B669" s="0" t="s">
        <v>36</v>
      </c>
      <c r="C669" s="2" t="s">
        <v>715</v>
      </c>
      <c r="D669" s="2" t="s">
        <v>1306</v>
      </c>
      <c r="E669" s="3" t="s">
        <v>22</v>
      </c>
      <c r="F669" s="3" t="s">
        <v>29</v>
      </c>
      <c r="G669" s="0" t="n">
        <v>1065</v>
      </c>
      <c r="H669" s="4" t="n">
        <v>47.49</v>
      </c>
      <c r="I669" s="4" t="n">
        <v>41.42</v>
      </c>
      <c r="J669" s="0" t="n">
        <v>113</v>
      </c>
      <c r="K669" s="3" t="s">
        <v>24</v>
      </c>
      <c r="L669" s="3" t="n">
        <f aca="false">IF(D669="","",IF(D669-C669&lt;0,"",D669-C669))</f>
        <v>11</v>
      </c>
      <c r="M669" s="4" t="n">
        <f aca="false">G669*I669</f>
        <v>44112.3</v>
      </c>
      <c r="N669" s="5" t="n">
        <f aca="false">IF(J669="","",J669/G669*100)</f>
        <v>10.6103286384977</v>
      </c>
      <c r="O669" s="5" t="n">
        <f aca="false">(H669-I669)/H669*100</f>
        <v>12.7816382396294</v>
      </c>
      <c r="P669" s="3" t="n">
        <f aca="false">IF(OR(F669="Delivered",F669="Partially Delivered"),1,0)</f>
        <v>1</v>
      </c>
      <c r="Q669" s="3" t="n">
        <f aca="false">IF(F669="Cancelled",1,0)</f>
        <v>0</v>
      </c>
      <c r="R669" s="3" t="n">
        <f aca="false">IF(K669="Yes",1,0)</f>
        <v>1</v>
      </c>
    </row>
    <row r="670" customFormat="false" ht="15" hidden="false" customHeight="false" outlineLevel="0" collapsed="false">
      <c r="A670" s="0" t="s">
        <v>1308</v>
      </c>
      <c r="B670" s="0" t="s">
        <v>31</v>
      </c>
      <c r="C670" s="2" t="s">
        <v>606</v>
      </c>
      <c r="D670" s="2" t="s">
        <v>1309</v>
      </c>
      <c r="E670" s="3" t="s">
        <v>39</v>
      </c>
      <c r="F670" s="3" t="s">
        <v>29</v>
      </c>
      <c r="G670" s="0" t="n">
        <v>1398</v>
      </c>
      <c r="H670" s="4" t="n">
        <v>75.08</v>
      </c>
      <c r="I670" s="4" t="n">
        <v>67.09</v>
      </c>
      <c r="J670" s="0" t="n">
        <v>57</v>
      </c>
      <c r="K670" s="3" t="s">
        <v>24</v>
      </c>
      <c r="L670" s="3" t="n">
        <f aca="false">IF(D670="","",IF(D670-C670&lt;0,"",D670-C670))</f>
        <v>12</v>
      </c>
      <c r="M670" s="4" t="n">
        <f aca="false">G670*I670</f>
        <v>93791.82</v>
      </c>
      <c r="N670" s="5" t="n">
        <f aca="false">IF(J670="","",J670/G670*100)</f>
        <v>4.07725321888412</v>
      </c>
      <c r="O670" s="5" t="n">
        <f aca="false">(H670-I670)/H670*100</f>
        <v>10.6419818859883</v>
      </c>
      <c r="P670" s="3" t="n">
        <f aca="false">IF(OR(F670="Delivered",F670="Partially Delivered"),1,0)</f>
        <v>1</v>
      </c>
      <c r="Q670" s="3" t="n">
        <f aca="false">IF(F670="Cancelled",1,0)</f>
        <v>0</v>
      </c>
      <c r="R670" s="3" t="n">
        <f aca="false">IF(K670="Yes",1,0)</f>
        <v>1</v>
      </c>
    </row>
    <row r="671" customFormat="false" ht="15" hidden="false" customHeight="false" outlineLevel="0" collapsed="false">
      <c r="A671" s="0" t="s">
        <v>1310</v>
      </c>
      <c r="B671" s="0" t="s">
        <v>36</v>
      </c>
      <c r="C671" s="2" t="s">
        <v>761</v>
      </c>
      <c r="D671" s="2" t="s">
        <v>526</v>
      </c>
      <c r="E671" s="3" t="s">
        <v>39</v>
      </c>
      <c r="F671" s="3" t="s">
        <v>29</v>
      </c>
      <c r="G671" s="0" t="n">
        <v>565</v>
      </c>
      <c r="H671" s="4" t="n">
        <v>32.31</v>
      </c>
      <c r="I671" s="4" t="n">
        <v>29.76</v>
      </c>
      <c r="J671" s="0" t="n">
        <v>60</v>
      </c>
      <c r="K671" s="3" t="s">
        <v>24</v>
      </c>
      <c r="L671" s="3" t="n">
        <f aca="false">IF(D671="","",IF(D671-C671&lt;0,"",D671-C671))</f>
        <v>7</v>
      </c>
      <c r="M671" s="4" t="n">
        <f aca="false">G671*I671</f>
        <v>16814.4</v>
      </c>
      <c r="N671" s="5" t="n">
        <f aca="false">IF(J671="","",J671/G671*100)</f>
        <v>10.6194690265487</v>
      </c>
      <c r="O671" s="5" t="n">
        <f aca="false">(H671-I671)/H671*100</f>
        <v>7.89229340761374</v>
      </c>
      <c r="P671" s="3" t="n">
        <f aca="false">IF(OR(F671="Delivered",F671="Partially Delivered"),1,0)</f>
        <v>1</v>
      </c>
      <c r="Q671" s="3" t="n">
        <f aca="false">IF(F671="Cancelled",1,0)</f>
        <v>0</v>
      </c>
      <c r="R671" s="3" t="n">
        <f aca="false">IF(K671="Yes",1,0)</f>
        <v>1</v>
      </c>
    </row>
    <row r="672" customFormat="false" ht="15" hidden="false" customHeight="false" outlineLevel="0" collapsed="false">
      <c r="A672" s="0" t="s">
        <v>1311</v>
      </c>
      <c r="B672" s="0" t="s">
        <v>46</v>
      </c>
      <c r="C672" s="2" t="s">
        <v>1029</v>
      </c>
      <c r="D672" s="2" t="s">
        <v>657</v>
      </c>
      <c r="E672" s="3" t="s">
        <v>39</v>
      </c>
      <c r="F672" s="3" t="s">
        <v>62</v>
      </c>
      <c r="G672" s="0" t="n">
        <v>1089</v>
      </c>
      <c r="H672" s="4" t="n">
        <v>102.66</v>
      </c>
      <c r="I672" s="4" t="n">
        <v>89.21</v>
      </c>
      <c r="J672" s="0" t="n">
        <v>33</v>
      </c>
      <c r="K672" s="3" t="s">
        <v>24</v>
      </c>
      <c r="L672" s="3" t="n">
        <f aca="false">IF(D672="","",IF(D672-C672&lt;0,"",D672-C672))</f>
        <v>13</v>
      </c>
      <c r="M672" s="4" t="n">
        <f aca="false">G672*I672</f>
        <v>97149.69</v>
      </c>
      <c r="N672" s="5" t="n">
        <f aca="false">IF(J672="","",J672/G672*100)</f>
        <v>3.03030303030303</v>
      </c>
      <c r="O672" s="5" t="n">
        <f aca="false">(H672-I672)/H672*100</f>
        <v>13.1015000974089</v>
      </c>
      <c r="P672" s="3" t="n">
        <f aca="false">IF(OR(F672="Delivered",F672="Partially Delivered"),1,0)</f>
        <v>0</v>
      </c>
      <c r="Q672" s="3" t="n">
        <f aca="false">IF(F672="Cancelled",1,0)</f>
        <v>0</v>
      </c>
      <c r="R672" s="3" t="n">
        <f aca="false">IF(K672="Yes",1,0)</f>
        <v>1</v>
      </c>
    </row>
    <row r="673" customFormat="false" ht="15" hidden="false" customHeight="false" outlineLevel="0" collapsed="false">
      <c r="A673" s="0" t="s">
        <v>1312</v>
      </c>
      <c r="B673" s="0" t="s">
        <v>26</v>
      </c>
      <c r="C673" s="2" t="s">
        <v>654</v>
      </c>
      <c r="D673" s="2" t="s">
        <v>549</v>
      </c>
      <c r="E673" s="3" t="s">
        <v>71</v>
      </c>
      <c r="F673" s="3" t="s">
        <v>29</v>
      </c>
      <c r="G673" s="0" t="n">
        <v>841</v>
      </c>
      <c r="H673" s="4" t="n">
        <v>86.43</v>
      </c>
      <c r="I673" s="4" t="n">
        <v>83.77</v>
      </c>
      <c r="J673" s="0" t="n">
        <v>125</v>
      </c>
      <c r="K673" s="3" t="s">
        <v>44</v>
      </c>
      <c r="L673" s="3" t="n">
        <f aca="false">IF(D673="","",IF(D673-C673&lt;0,"",D673-C673))</f>
        <v>2</v>
      </c>
      <c r="M673" s="4" t="n">
        <f aca="false">G673*I673</f>
        <v>70450.57</v>
      </c>
      <c r="N673" s="5" t="n">
        <f aca="false">IF(J673="","",J673/G673*100)</f>
        <v>14.8632580261593</v>
      </c>
      <c r="O673" s="5" t="n">
        <f aca="false">(H673-I673)/H673*100</f>
        <v>3.07763508041191</v>
      </c>
      <c r="P673" s="3" t="n">
        <f aca="false">IF(OR(F673="Delivered",F673="Partially Delivered"),1,0)</f>
        <v>1</v>
      </c>
      <c r="Q673" s="3" t="n">
        <f aca="false">IF(F673="Cancelled",1,0)</f>
        <v>0</v>
      </c>
      <c r="R673" s="3" t="n">
        <f aca="false">IF(K673="Yes",1,0)</f>
        <v>0</v>
      </c>
    </row>
    <row r="674" customFormat="false" ht="15" hidden="false" customHeight="false" outlineLevel="0" collapsed="false">
      <c r="A674" s="0" t="s">
        <v>1313</v>
      </c>
      <c r="B674" s="0" t="s">
        <v>26</v>
      </c>
      <c r="C674" s="2" t="s">
        <v>168</v>
      </c>
      <c r="D674" s="2" t="s">
        <v>671</v>
      </c>
      <c r="E674" s="3" t="s">
        <v>71</v>
      </c>
      <c r="F674" s="3" t="s">
        <v>29</v>
      </c>
      <c r="G674" s="0" t="n">
        <v>385</v>
      </c>
      <c r="H674" s="4" t="n">
        <v>18.23</v>
      </c>
      <c r="I674" s="4" t="n">
        <v>17.74</v>
      </c>
      <c r="K674" s="3" t="s">
        <v>24</v>
      </c>
      <c r="L674" s="3" t="n">
        <f aca="false">IF(D674="","",IF(D674-C674&lt;0,"",D674-C674))</f>
        <v>11</v>
      </c>
      <c r="M674" s="4" t="n">
        <f aca="false">G674*I674</f>
        <v>6829.9</v>
      </c>
      <c r="N674" s="5" t="str">
        <f aca="false">IF(J674="","",J674/G674*100)</f>
        <v/>
      </c>
      <c r="O674" s="5" t="n">
        <f aca="false">(H674-I674)/H674*100</f>
        <v>2.68787712561713</v>
      </c>
      <c r="P674" s="3" t="n">
        <f aca="false">IF(OR(F674="Delivered",F674="Partially Delivered"),1,0)</f>
        <v>1</v>
      </c>
      <c r="Q674" s="3" t="n">
        <f aca="false">IF(F674="Cancelled",1,0)</f>
        <v>0</v>
      </c>
      <c r="R674" s="3" t="n">
        <f aca="false">IF(K674="Yes",1,0)</f>
        <v>1</v>
      </c>
    </row>
    <row r="675" customFormat="false" ht="15" hidden="false" customHeight="false" outlineLevel="0" collapsed="false">
      <c r="A675" s="0" t="s">
        <v>1314</v>
      </c>
      <c r="B675" s="0" t="s">
        <v>46</v>
      </c>
      <c r="C675" s="2" t="s">
        <v>1315</v>
      </c>
      <c r="D675" s="2" t="s">
        <v>47</v>
      </c>
      <c r="E675" s="3" t="s">
        <v>22</v>
      </c>
      <c r="F675" s="3" t="s">
        <v>29</v>
      </c>
      <c r="G675" s="0" t="n">
        <v>1832</v>
      </c>
      <c r="H675" s="4" t="n">
        <v>49.01</v>
      </c>
      <c r="I675" s="4" t="n">
        <v>41.86</v>
      </c>
      <c r="J675" s="0" t="n">
        <v>52</v>
      </c>
      <c r="K675" s="3" t="s">
        <v>24</v>
      </c>
      <c r="L675" s="3" t="n">
        <f aca="false">IF(D675="","",IF(D675-C675&lt;0,"",D675-C675))</f>
        <v>17</v>
      </c>
      <c r="M675" s="4" t="n">
        <f aca="false">G675*I675</f>
        <v>76687.52</v>
      </c>
      <c r="N675" s="5" t="n">
        <f aca="false">IF(J675="","",J675/G675*100)</f>
        <v>2.83842794759825</v>
      </c>
      <c r="O675" s="5" t="n">
        <f aca="false">(H675-I675)/H675*100</f>
        <v>14.5888594164456</v>
      </c>
      <c r="P675" s="3" t="n">
        <f aca="false">IF(OR(F675="Delivered",F675="Partially Delivered"),1,0)</f>
        <v>1</v>
      </c>
      <c r="Q675" s="3" t="n">
        <f aca="false">IF(F675="Cancelled",1,0)</f>
        <v>0</v>
      </c>
      <c r="R675" s="3" t="n">
        <f aca="false">IF(K675="Yes",1,0)</f>
        <v>1</v>
      </c>
    </row>
    <row r="676" customFormat="false" ht="15" hidden="false" customHeight="false" outlineLevel="0" collapsed="false">
      <c r="A676" s="0" t="s">
        <v>1316</v>
      </c>
      <c r="B676" s="0" t="s">
        <v>36</v>
      </c>
      <c r="C676" s="2" t="s">
        <v>1135</v>
      </c>
      <c r="D676" s="2" t="s">
        <v>1282</v>
      </c>
      <c r="E676" s="3" t="s">
        <v>43</v>
      </c>
      <c r="F676" s="3" t="s">
        <v>29</v>
      </c>
      <c r="G676" s="0" t="n">
        <v>307</v>
      </c>
      <c r="H676" s="4" t="n">
        <v>95.36</v>
      </c>
      <c r="I676" s="4" t="n">
        <v>83.63</v>
      </c>
      <c r="J676" s="0" t="n">
        <v>29</v>
      </c>
      <c r="K676" s="3" t="s">
        <v>24</v>
      </c>
      <c r="L676" s="3" t="n">
        <f aca="false">IF(D676="","",IF(D676-C676&lt;0,"",D676-C676))</f>
        <v>20</v>
      </c>
      <c r="M676" s="4" t="n">
        <f aca="false">G676*I676</f>
        <v>25674.41</v>
      </c>
      <c r="N676" s="5" t="n">
        <f aca="false">IF(J676="","",J676/G676*100)</f>
        <v>9.44625407166124</v>
      </c>
      <c r="O676" s="5" t="n">
        <f aca="false">(H676-I676)/H676*100</f>
        <v>12.3007550335571</v>
      </c>
      <c r="P676" s="3" t="n">
        <f aca="false">IF(OR(F676="Delivered",F676="Partially Delivered"),1,0)</f>
        <v>1</v>
      </c>
      <c r="Q676" s="3" t="n">
        <f aca="false">IF(F676="Cancelled",1,0)</f>
        <v>0</v>
      </c>
      <c r="R676" s="3" t="n">
        <f aca="false">IF(K676="Yes",1,0)</f>
        <v>1</v>
      </c>
    </row>
    <row r="677" customFormat="false" ht="15" hidden="false" customHeight="false" outlineLevel="0" collapsed="false">
      <c r="A677" s="0" t="s">
        <v>1317</v>
      </c>
      <c r="B677" s="0" t="s">
        <v>46</v>
      </c>
      <c r="C677" s="2" t="s">
        <v>1138</v>
      </c>
      <c r="D677" s="2" t="s">
        <v>224</v>
      </c>
      <c r="E677" s="3" t="s">
        <v>22</v>
      </c>
      <c r="F677" s="3" t="s">
        <v>29</v>
      </c>
      <c r="G677" s="0" t="n">
        <v>546</v>
      </c>
      <c r="H677" s="4" t="n">
        <v>101.2</v>
      </c>
      <c r="I677" s="4" t="n">
        <v>97.82</v>
      </c>
      <c r="J677" s="0" t="n">
        <v>21</v>
      </c>
      <c r="K677" s="3" t="s">
        <v>24</v>
      </c>
      <c r="L677" s="3" t="n">
        <f aca="false">IF(D677="","",IF(D677-C677&lt;0,"",D677-C677))</f>
        <v>5</v>
      </c>
      <c r="M677" s="4" t="n">
        <f aca="false">G677*I677</f>
        <v>53409.72</v>
      </c>
      <c r="N677" s="5" t="n">
        <f aca="false">IF(J677="","",J677/G677*100)</f>
        <v>3.84615384615385</v>
      </c>
      <c r="O677" s="5" t="n">
        <f aca="false">(H677-I677)/H677*100</f>
        <v>3.33992094861661</v>
      </c>
      <c r="P677" s="3" t="n">
        <f aca="false">IF(OR(F677="Delivered",F677="Partially Delivered"),1,0)</f>
        <v>1</v>
      </c>
      <c r="Q677" s="3" t="n">
        <f aca="false">IF(F677="Cancelled",1,0)</f>
        <v>0</v>
      </c>
      <c r="R677" s="3" t="n">
        <f aca="false">IF(K677="Yes",1,0)</f>
        <v>1</v>
      </c>
    </row>
    <row r="678" customFormat="false" ht="15" hidden="false" customHeight="false" outlineLevel="0" collapsed="false">
      <c r="A678" s="0" t="s">
        <v>1318</v>
      </c>
      <c r="B678" s="0" t="s">
        <v>26</v>
      </c>
      <c r="C678" s="2" t="s">
        <v>351</v>
      </c>
      <c r="D678" s="2" t="s">
        <v>67</v>
      </c>
      <c r="E678" s="3" t="s">
        <v>43</v>
      </c>
      <c r="F678" s="3" t="s">
        <v>29</v>
      </c>
      <c r="G678" s="0" t="n">
        <v>945</v>
      </c>
      <c r="H678" s="4" t="n">
        <v>57.01</v>
      </c>
      <c r="I678" s="4" t="n">
        <v>55.14</v>
      </c>
      <c r="J678" s="0" t="n">
        <v>147</v>
      </c>
      <c r="K678" s="3" t="s">
        <v>44</v>
      </c>
      <c r="L678" s="3" t="n">
        <f aca="false">IF(D678="","",IF(D678-C678&lt;0,"",D678-C678))</f>
        <v>20</v>
      </c>
      <c r="M678" s="4" t="n">
        <f aca="false">G678*I678</f>
        <v>52107.3</v>
      </c>
      <c r="N678" s="5" t="n">
        <f aca="false">IF(J678="","",J678/G678*100)</f>
        <v>15.5555555555556</v>
      </c>
      <c r="O678" s="5" t="n">
        <f aca="false">(H678-I678)/H678*100</f>
        <v>3.28012629363269</v>
      </c>
      <c r="P678" s="3" t="n">
        <f aca="false">IF(OR(F678="Delivered",F678="Partially Delivered"),1,0)</f>
        <v>1</v>
      </c>
      <c r="Q678" s="3" t="n">
        <f aca="false">IF(F678="Cancelled",1,0)</f>
        <v>0</v>
      </c>
      <c r="R678" s="3" t="n">
        <f aca="false">IF(K678="Yes",1,0)</f>
        <v>0</v>
      </c>
    </row>
    <row r="679" customFormat="false" ht="15" hidden="false" customHeight="false" outlineLevel="0" collapsed="false">
      <c r="A679" s="0" t="s">
        <v>1319</v>
      </c>
      <c r="B679" s="0" t="s">
        <v>26</v>
      </c>
      <c r="C679" s="2" t="s">
        <v>1230</v>
      </c>
      <c r="D679" s="2" t="s">
        <v>1093</v>
      </c>
      <c r="E679" s="3" t="s">
        <v>34</v>
      </c>
      <c r="F679" s="3" t="s">
        <v>62</v>
      </c>
      <c r="G679" s="0" t="n">
        <v>209</v>
      </c>
      <c r="H679" s="4" t="n">
        <v>72.71</v>
      </c>
      <c r="I679" s="4" t="n">
        <v>64.34</v>
      </c>
      <c r="J679" s="0" t="n">
        <v>39</v>
      </c>
      <c r="K679" s="3" t="s">
        <v>24</v>
      </c>
      <c r="L679" s="3" t="n">
        <f aca="false">IF(D679="","",IF(D679-C679&lt;0,"",D679-C679))</f>
        <v>13</v>
      </c>
      <c r="M679" s="4" t="n">
        <f aca="false">G679*I679</f>
        <v>13447.06</v>
      </c>
      <c r="N679" s="5" t="n">
        <f aca="false">IF(J679="","",J679/G679*100)</f>
        <v>18.6602870813397</v>
      </c>
      <c r="O679" s="5" t="n">
        <f aca="false">(H679-I679)/H679*100</f>
        <v>11.5114839774446</v>
      </c>
      <c r="P679" s="3" t="n">
        <f aca="false">IF(OR(F679="Delivered",F679="Partially Delivered"),1,0)</f>
        <v>0</v>
      </c>
      <c r="Q679" s="3" t="n">
        <f aca="false">IF(F679="Cancelled",1,0)</f>
        <v>0</v>
      </c>
      <c r="R679" s="3" t="n">
        <f aca="false">IF(K679="Yes",1,0)</f>
        <v>1</v>
      </c>
    </row>
    <row r="680" customFormat="false" ht="15" hidden="false" customHeight="false" outlineLevel="0" collapsed="false">
      <c r="A680" s="0" t="s">
        <v>1320</v>
      </c>
      <c r="B680" s="0" t="s">
        <v>36</v>
      </c>
      <c r="C680" s="2" t="s">
        <v>952</v>
      </c>
      <c r="D680" s="2"/>
      <c r="E680" s="3" t="s">
        <v>39</v>
      </c>
      <c r="F680" s="3" t="s">
        <v>29</v>
      </c>
      <c r="G680" s="0" t="n">
        <v>1548</v>
      </c>
      <c r="H680" s="4" t="n">
        <v>25.03</v>
      </c>
      <c r="I680" s="4" t="n">
        <v>22.87</v>
      </c>
      <c r="K680" s="3" t="s">
        <v>24</v>
      </c>
      <c r="L680" s="0" t="str">
        <f aca="false">IF(D680="","",IF(D680-C680&lt;0,"",D680-C680))</f>
        <v/>
      </c>
      <c r="M680" s="4" t="n">
        <f aca="false">G680*I680</f>
        <v>35402.76</v>
      </c>
      <c r="N680" s="5" t="str">
        <f aca="false">IF(J680="","",J680/G680*100)</f>
        <v/>
      </c>
      <c r="O680" s="5" t="n">
        <f aca="false">(H680-I680)/H680*100</f>
        <v>8.62964442668798</v>
      </c>
      <c r="P680" s="3" t="n">
        <f aca="false">IF(OR(F680="Delivered",F680="Partially Delivered"),1,0)</f>
        <v>1</v>
      </c>
      <c r="Q680" s="3" t="n">
        <f aca="false">IF(F680="Cancelled",1,0)</f>
        <v>0</v>
      </c>
      <c r="R680" s="3" t="n">
        <f aca="false">IF(K680="Yes",1,0)</f>
        <v>1</v>
      </c>
    </row>
    <row r="681" customFormat="false" ht="15" hidden="false" customHeight="false" outlineLevel="0" collapsed="false">
      <c r="A681" s="0" t="s">
        <v>1321</v>
      </c>
      <c r="B681" s="0" t="s">
        <v>26</v>
      </c>
      <c r="C681" s="2" t="s">
        <v>1206</v>
      </c>
      <c r="D681" s="2" t="s">
        <v>965</v>
      </c>
      <c r="E681" s="3" t="s">
        <v>43</v>
      </c>
      <c r="F681" s="3" t="s">
        <v>29</v>
      </c>
      <c r="G681" s="0" t="n">
        <v>901</v>
      </c>
      <c r="H681" s="4" t="n">
        <v>108.63</v>
      </c>
      <c r="I681" s="4" t="n">
        <v>106.3</v>
      </c>
      <c r="J681" s="0" t="n">
        <v>141</v>
      </c>
      <c r="K681" s="3" t="s">
        <v>24</v>
      </c>
      <c r="L681" s="3" t="n">
        <f aca="false">IF(D681="","",IF(D681-C681&lt;0,"",D681-C681))</f>
        <v>10</v>
      </c>
      <c r="M681" s="4" t="n">
        <f aca="false">G681*I681</f>
        <v>95776.3</v>
      </c>
      <c r="N681" s="5" t="n">
        <f aca="false">IF(J681="","",J681/G681*100)</f>
        <v>15.6492785793563</v>
      </c>
      <c r="O681" s="5" t="n">
        <f aca="false">(H681-I681)/H681*100</f>
        <v>2.1448955168922</v>
      </c>
      <c r="P681" s="3" t="n">
        <f aca="false">IF(OR(F681="Delivered",F681="Partially Delivered"),1,0)</f>
        <v>1</v>
      </c>
      <c r="Q681" s="3" t="n">
        <f aca="false">IF(F681="Cancelled",1,0)</f>
        <v>0</v>
      </c>
      <c r="R681" s="3" t="n">
        <f aca="false">IF(K681="Yes",1,0)</f>
        <v>1</v>
      </c>
    </row>
    <row r="682" customFormat="false" ht="15" hidden="false" customHeight="false" outlineLevel="0" collapsed="false">
      <c r="A682" s="0" t="s">
        <v>1322</v>
      </c>
      <c r="B682" s="0" t="s">
        <v>46</v>
      </c>
      <c r="C682" s="2" t="s">
        <v>151</v>
      </c>
      <c r="D682" s="2" t="s">
        <v>278</v>
      </c>
      <c r="E682" s="3" t="s">
        <v>39</v>
      </c>
      <c r="F682" s="3" t="s">
        <v>29</v>
      </c>
      <c r="G682" s="0" t="n">
        <v>1737</v>
      </c>
      <c r="H682" s="4" t="n">
        <v>32.7</v>
      </c>
      <c r="I682" s="4" t="n">
        <v>31.02</v>
      </c>
      <c r="J682" s="0" t="n">
        <v>48</v>
      </c>
      <c r="K682" s="3" t="s">
        <v>24</v>
      </c>
      <c r="L682" s="3" t="n">
        <f aca="false">IF(D682="","",IF(D682-C682&lt;0,"",D682-C682))</f>
        <v>17</v>
      </c>
      <c r="M682" s="4" t="n">
        <f aca="false">G682*I682</f>
        <v>53881.74</v>
      </c>
      <c r="N682" s="5" t="n">
        <f aca="false">IF(J682="","",J682/G682*100)</f>
        <v>2.76338514680484</v>
      </c>
      <c r="O682" s="5" t="n">
        <f aca="false">(H682-I682)/H682*100</f>
        <v>5.13761467889909</v>
      </c>
      <c r="P682" s="3" t="n">
        <f aca="false">IF(OR(F682="Delivered",F682="Partially Delivered"),1,0)</f>
        <v>1</v>
      </c>
      <c r="Q682" s="3" t="n">
        <f aca="false">IF(F682="Cancelled",1,0)</f>
        <v>0</v>
      </c>
      <c r="R682" s="3" t="n">
        <f aca="false">IF(K682="Yes",1,0)</f>
        <v>1</v>
      </c>
    </row>
    <row r="683" customFormat="false" ht="15" hidden="false" customHeight="false" outlineLevel="0" collapsed="false">
      <c r="A683" s="0" t="s">
        <v>1323</v>
      </c>
      <c r="B683" s="0" t="s">
        <v>36</v>
      </c>
      <c r="C683" s="2" t="s">
        <v>770</v>
      </c>
      <c r="D683" s="2" t="s">
        <v>720</v>
      </c>
      <c r="E683" s="3" t="s">
        <v>43</v>
      </c>
      <c r="F683" s="3" t="s">
        <v>29</v>
      </c>
      <c r="G683" s="0" t="n">
        <v>1981</v>
      </c>
      <c r="H683" s="4" t="n">
        <v>102.43</v>
      </c>
      <c r="I683" s="4" t="n">
        <v>90.99</v>
      </c>
      <c r="J683" s="0" t="n">
        <v>204</v>
      </c>
      <c r="K683" s="3" t="s">
        <v>24</v>
      </c>
      <c r="L683" s="3" t="n">
        <f aca="false">IF(D683="","",IF(D683-C683&lt;0,"",D683-C683))</f>
        <v>18</v>
      </c>
      <c r="M683" s="4" t="n">
        <f aca="false">G683*I683</f>
        <v>180251.19</v>
      </c>
      <c r="N683" s="5" t="n">
        <f aca="false">IF(J683="","",J683/G683*100)</f>
        <v>10.2978293791015</v>
      </c>
      <c r="O683" s="5" t="n">
        <f aca="false">(H683-I683)/H683*100</f>
        <v>11.168602948355</v>
      </c>
      <c r="P683" s="3" t="n">
        <f aca="false">IF(OR(F683="Delivered",F683="Partially Delivered"),1,0)</f>
        <v>1</v>
      </c>
      <c r="Q683" s="3" t="n">
        <f aca="false">IF(F683="Cancelled",1,0)</f>
        <v>0</v>
      </c>
      <c r="R683" s="3" t="n">
        <f aca="false">IF(K683="Yes",1,0)</f>
        <v>1</v>
      </c>
    </row>
    <row r="684" customFormat="false" ht="15" hidden="false" customHeight="false" outlineLevel="0" collapsed="false">
      <c r="A684" s="0" t="s">
        <v>1324</v>
      </c>
      <c r="B684" s="0" t="s">
        <v>46</v>
      </c>
      <c r="C684" s="2" t="s">
        <v>123</v>
      </c>
      <c r="D684" s="2" t="s">
        <v>32</v>
      </c>
      <c r="E684" s="3" t="s">
        <v>34</v>
      </c>
      <c r="F684" s="3" t="s">
        <v>62</v>
      </c>
      <c r="G684" s="0" t="n">
        <v>739</v>
      </c>
      <c r="H684" s="4" t="n">
        <v>68.47</v>
      </c>
      <c r="I684" s="4" t="n">
        <v>66.09</v>
      </c>
      <c r="J684" s="0" t="n">
        <v>19</v>
      </c>
      <c r="K684" s="3" t="s">
        <v>24</v>
      </c>
      <c r="L684" s="3" t="n">
        <f aca="false">IF(D684="","",IF(D684-C684&lt;0,"",D684-C684))</f>
        <v>19</v>
      </c>
      <c r="M684" s="4" t="n">
        <f aca="false">G684*I684</f>
        <v>48840.51</v>
      </c>
      <c r="N684" s="5" t="n">
        <f aca="false">IF(J684="","",J684/G684*100)</f>
        <v>2.57104194857916</v>
      </c>
      <c r="O684" s="5" t="n">
        <f aca="false">(H684-I684)/H684*100</f>
        <v>3.47597487950927</v>
      </c>
      <c r="P684" s="3" t="n">
        <f aca="false">IF(OR(F684="Delivered",F684="Partially Delivered"),1,0)</f>
        <v>0</v>
      </c>
      <c r="Q684" s="3" t="n">
        <f aca="false">IF(F684="Cancelled",1,0)</f>
        <v>0</v>
      </c>
      <c r="R684" s="3" t="n">
        <f aca="false">IF(K684="Yes",1,0)</f>
        <v>1</v>
      </c>
    </row>
    <row r="685" customFormat="false" ht="15" hidden="false" customHeight="false" outlineLevel="0" collapsed="false">
      <c r="A685" s="0" t="s">
        <v>1325</v>
      </c>
      <c r="B685" s="0" t="s">
        <v>36</v>
      </c>
      <c r="C685" s="2" t="s">
        <v>1326</v>
      </c>
      <c r="D685" s="2" t="s">
        <v>1327</v>
      </c>
      <c r="E685" s="3" t="s">
        <v>43</v>
      </c>
      <c r="F685" s="3" t="s">
        <v>29</v>
      </c>
      <c r="G685" s="0" t="n">
        <v>1748</v>
      </c>
      <c r="H685" s="4" t="n">
        <v>68.25</v>
      </c>
      <c r="I685" s="4" t="n">
        <v>62.84</v>
      </c>
      <c r="J685" s="0" t="n">
        <v>171</v>
      </c>
      <c r="K685" s="3" t="s">
        <v>24</v>
      </c>
      <c r="L685" s="3" t="n">
        <f aca="false">IF(D685="","",IF(D685-C685&lt;0,"",D685-C685))</f>
        <v>1</v>
      </c>
      <c r="M685" s="4" t="n">
        <f aca="false">G685*I685</f>
        <v>109844.32</v>
      </c>
      <c r="N685" s="5" t="n">
        <f aca="false">IF(J685="","",J685/G685*100)</f>
        <v>9.78260869565217</v>
      </c>
      <c r="O685" s="5" t="n">
        <f aca="false">(H685-I685)/H685*100</f>
        <v>7.92673992673992</v>
      </c>
      <c r="P685" s="3" t="n">
        <f aca="false">IF(OR(F685="Delivered",F685="Partially Delivered"),1,0)</f>
        <v>1</v>
      </c>
      <c r="Q685" s="3" t="n">
        <f aca="false">IF(F685="Cancelled",1,0)</f>
        <v>0</v>
      </c>
      <c r="R685" s="3" t="n">
        <f aca="false">IF(K685="Yes",1,0)</f>
        <v>1</v>
      </c>
    </row>
    <row r="686" customFormat="false" ht="15" hidden="false" customHeight="false" outlineLevel="0" collapsed="false">
      <c r="A686" s="0" t="s">
        <v>1328</v>
      </c>
      <c r="B686" s="0" t="s">
        <v>26</v>
      </c>
      <c r="C686" s="2" t="s">
        <v>456</v>
      </c>
      <c r="D686" s="2" t="s">
        <v>878</v>
      </c>
      <c r="E686" s="3" t="s">
        <v>22</v>
      </c>
      <c r="F686" s="3" t="s">
        <v>23</v>
      </c>
      <c r="G686" s="0" t="n">
        <v>429</v>
      </c>
      <c r="H686" s="4" t="n">
        <v>58.95</v>
      </c>
      <c r="I686" s="4" t="n">
        <v>55.35</v>
      </c>
      <c r="J686" s="0" t="n">
        <v>59</v>
      </c>
      <c r="K686" s="3" t="s">
        <v>44</v>
      </c>
      <c r="L686" s="3" t="n">
        <f aca="false">IF(D686="","",IF(D686-C686&lt;0,"",D686-C686))</f>
        <v>4</v>
      </c>
      <c r="M686" s="4" t="n">
        <f aca="false">G686*I686</f>
        <v>23745.15</v>
      </c>
      <c r="N686" s="5" t="n">
        <f aca="false">IF(J686="","",J686/G686*100)</f>
        <v>13.7529137529138</v>
      </c>
      <c r="O686" s="5" t="n">
        <f aca="false">(H686-I686)/H686*100</f>
        <v>6.10687022900764</v>
      </c>
      <c r="P686" s="3" t="n">
        <f aca="false">IF(OR(F686="Delivered",F686="Partially Delivered"),1,0)</f>
        <v>0</v>
      </c>
      <c r="Q686" s="3" t="n">
        <f aca="false">IF(F686="Cancelled",1,0)</f>
        <v>1</v>
      </c>
      <c r="R686" s="3" t="n">
        <f aca="false">IF(K686="Yes",1,0)</f>
        <v>0</v>
      </c>
    </row>
    <row r="687" customFormat="false" ht="15" hidden="false" customHeight="false" outlineLevel="0" collapsed="false">
      <c r="A687" s="0" t="s">
        <v>1329</v>
      </c>
      <c r="B687" s="0" t="s">
        <v>31</v>
      </c>
      <c r="C687" s="2" t="s">
        <v>239</v>
      </c>
      <c r="D687" s="2"/>
      <c r="E687" s="3" t="s">
        <v>71</v>
      </c>
      <c r="F687" s="3" t="s">
        <v>29</v>
      </c>
      <c r="G687" s="0" t="n">
        <v>1618</v>
      </c>
      <c r="H687" s="4" t="n">
        <v>32.76</v>
      </c>
      <c r="I687" s="4" t="n">
        <v>28.41</v>
      </c>
      <c r="J687" s="0" t="n">
        <v>62</v>
      </c>
      <c r="K687" s="3" t="s">
        <v>24</v>
      </c>
      <c r="L687" s="0" t="str">
        <f aca="false">IF(D687="","",IF(D687-C687&lt;0,"",D687-C687))</f>
        <v/>
      </c>
      <c r="M687" s="4" t="n">
        <f aca="false">G687*I687</f>
        <v>45967.38</v>
      </c>
      <c r="N687" s="5" t="n">
        <f aca="false">IF(J687="","",J687/G687*100)</f>
        <v>3.831891223733</v>
      </c>
      <c r="O687" s="5" t="n">
        <f aca="false">(H687-I687)/H687*100</f>
        <v>13.2783882783883</v>
      </c>
      <c r="P687" s="3" t="n">
        <f aca="false">IF(OR(F687="Delivered",F687="Partially Delivered"),1,0)</f>
        <v>1</v>
      </c>
      <c r="Q687" s="3" t="n">
        <f aca="false">IF(F687="Cancelled",1,0)</f>
        <v>0</v>
      </c>
      <c r="R687" s="3" t="n">
        <f aca="false">IF(K687="Yes",1,0)</f>
        <v>1</v>
      </c>
    </row>
    <row r="688" customFormat="false" ht="15" hidden="false" customHeight="false" outlineLevel="0" collapsed="false">
      <c r="A688" s="0" t="s">
        <v>1330</v>
      </c>
      <c r="B688" s="0" t="s">
        <v>36</v>
      </c>
      <c r="C688" s="2" t="s">
        <v>110</v>
      </c>
      <c r="D688" s="2" t="s">
        <v>1135</v>
      </c>
      <c r="E688" s="3" t="s">
        <v>39</v>
      </c>
      <c r="F688" s="3" t="s">
        <v>29</v>
      </c>
      <c r="G688" s="0" t="n">
        <v>1006</v>
      </c>
      <c r="H688" s="4" t="n">
        <v>27.7</v>
      </c>
      <c r="I688" s="4" t="n">
        <v>23.66</v>
      </c>
      <c r="J688" s="0" t="n">
        <v>101</v>
      </c>
      <c r="K688" s="3" t="s">
        <v>44</v>
      </c>
      <c r="L688" s="3" t="n">
        <f aca="false">IF(D688="","",IF(D688-C688&lt;0,"",D688-C688))</f>
        <v>1</v>
      </c>
      <c r="M688" s="4" t="n">
        <f aca="false">G688*I688</f>
        <v>23801.96</v>
      </c>
      <c r="N688" s="5" t="n">
        <f aca="false">IF(J688="","",J688/G688*100)</f>
        <v>10.0397614314115</v>
      </c>
      <c r="O688" s="5" t="n">
        <f aca="false">(H688-I688)/H688*100</f>
        <v>14.5848375451264</v>
      </c>
      <c r="P688" s="3" t="n">
        <f aca="false">IF(OR(F688="Delivered",F688="Partially Delivered"),1,0)</f>
        <v>1</v>
      </c>
      <c r="Q688" s="3" t="n">
        <f aca="false">IF(F688="Cancelled",1,0)</f>
        <v>0</v>
      </c>
      <c r="R688" s="3" t="n">
        <f aca="false">IF(K688="Yes",1,0)</f>
        <v>0</v>
      </c>
    </row>
    <row r="689" customFormat="false" ht="15" hidden="false" customHeight="false" outlineLevel="0" collapsed="false">
      <c r="A689" s="0" t="s">
        <v>1331</v>
      </c>
      <c r="B689" s="0" t="s">
        <v>36</v>
      </c>
      <c r="C689" s="2" t="s">
        <v>345</v>
      </c>
      <c r="D689" s="2" t="s">
        <v>1332</v>
      </c>
      <c r="E689" s="3" t="s">
        <v>71</v>
      </c>
      <c r="F689" s="3" t="s">
        <v>58</v>
      </c>
      <c r="G689" s="0" t="n">
        <v>740</v>
      </c>
      <c r="H689" s="4" t="n">
        <v>32.53</v>
      </c>
      <c r="I689" s="4" t="n">
        <v>29.35</v>
      </c>
      <c r="J689" s="0" t="n">
        <v>84</v>
      </c>
      <c r="K689" s="3" t="s">
        <v>24</v>
      </c>
      <c r="L689" s="3" t="n">
        <f aca="false">IF(D689="","",IF(D689-C689&lt;0,"",D689-C689))</f>
        <v>9</v>
      </c>
      <c r="M689" s="4" t="n">
        <f aca="false">G689*I689</f>
        <v>21719</v>
      </c>
      <c r="N689" s="5" t="n">
        <f aca="false">IF(J689="","",J689/G689*100)</f>
        <v>11.3513513513514</v>
      </c>
      <c r="O689" s="5" t="n">
        <f aca="false">(H689-I689)/H689*100</f>
        <v>9.77559176145097</v>
      </c>
      <c r="P689" s="3" t="n">
        <f aca="false">IF(OR(F689="Delivered",F689="Partially Delivered"),1,0)</f>
        <v>1</v>
      </c>
      <c r="Q689" s="3" t="n">
        <f aca="false">IF(F689="Cancelled",1,0)</f>
        <v>0</v>
      </c>
      <c r="R689" s="3" t="n">
        <f aca="false">IF(K689="Yes",1,0)</f>
        <v>1</v>
      </c>
    </row>
    <row r="690" customFormat="false" ht="15" hidden="false" customHeight="false" outlineLevel="0" collapsed="false">
      <c r="A690" s="0" t="s">
        <v>1333</v>
      </c>
      <c r="B690" s="0" t="s">
        <v>31</v>
      </c>
      <c r="C690" s="2" t="s">
        <v>173</v>
      </c>
      <c r="D690" s="2"/>
      <c r="E690" s="3" t="s">
        <v>43</v>
      </c>
      <c r="F690" s="3" t="s">
        <v>29</v>
      </c>
      <c r="G690" s="0" t="n">
        <v>1500</v>
      </c>
      <c r="H690" s="4" t="n">
        <v>29.19</v>
      </c>
      <c r="I690" s="4" t="n">
        <v>27.24</v>
      </c>
      <c r="J690" s="0" t="n">
        <v>72</v>
      </c>
      <c r="K690" s="3" t="s">
        <v>24</v>
      </c>
      <c r="L690" s="0" t="str">
        <f aca="false">IF(D690="","",IF(D690-C690&lt;0,"",D690-C690))</f>
        <v/>
      </c>
      <c r="M690" s="4" t="n">
        <f aca="false">G690*I690</f>
        <v>40860</v>
      </c>
      <c r="N690" s="5" t="n">
        <f aca="false">IF(J690="","",J690/G690*100)</f>
        <v>4.8</v>
      </c>
      <c r="O690" s="5" t="n">
        <f aca="false">(H690-I690)/H690*100</f>
        <v>6.68036998972252</v>
      </c>
      <c r="P690" s="3" t="n">
        <f aca="false">IF(OR(F690="Delivered",F690="Partially Delivered"),1,0)</f>
        <v>1</v>
      </c>
      <c r="Q690" s="3" t="n">
        <f aca="false">IF(F690="Cancelled",1,0)</f>
        <v>0</v>
      </c>
      <c r="R690" s="3" t="n">
        <f aca="false">IF(K690="Yes",1,0)</f>
        <v>1</v>
      </c>
    </row>
    <row r="691" customFormat="false" ht="15" hidden="false" customHeight="false" outlineLevel="0" collapsed="false">
      <c r="A691" s="0" t="s">
        <v>1334</v>
      </c>
      <c r="B691" s="0" t="s">
        <v>26</v>
      </c>
      <c r="C691" s="2" t="s">
        <v>582</v>
      </c>
      <c r="D691" s="2" t="s">
        <v>844</v>
      </c>
      <c r="E691" s="3" t="s">
        <v>22</v>
      </c>
      <c r="F691" s="3" t="s">
        <v>23</v>
      </c>
      <c r="G691" s="0" t="n">
        <v>1686</v>
      </c>
      <c r="H691" s="4" t="n">
        <v>88.18</v>
      </c>
      <c r="I691" s="4" t="n">
        <v>77.15</v>
      </c>
      <c r="K691" s="3" t="s">
        <v>24</v>
      </c>
      <c r="L691" s="3" t="n">
        <f aca="false">IF(D691="","",IF(D691-C691&lt;0,"",D691-C691))</f>
        <v>19</v>
      </c>
      <c r="M691" s="4" t="n">
        <f aca="false">G691*I691</f>
        <v>130074.9</v>
      </c>
      <c r="N691" s="5" t="str">
        <f aca="false">IF(J691="","",J691/G691*100)</f>
        <v/>
      </c>
      <c r="O691" s="5" t="n">
        <f aca="false">(H691-I691)/H691*100</f>
        <v>12.5085053300068</v>
      </c>
      <c r="P691" s="3" t="n">
        <f aca="false">IF(OR(F691="Delivered",F691="Partially Delivered"),1,0)</f>
        <v>0</v>
      </c>
      <c r="Q691" s="3" t="n">
        <f aca="false">IF(F691="Cancelled",1,0)</f>
        <v>1</v>
      </c>
      <c r="R691" s="3" t="n">
        <f aca="false">IF(K691="Yes",1,0)</f>
        <v>1</v>
      </c>
    </row>
    <row r="692" customFormat="false" ht="15" hidden="false" customHeight="false" outlineLevel="0" collapsed="false">
      <c r="A692" s="0" t="s">
        <v>1335</v>
      </c>
      <c r="B692" s="0" t="s">
        <v>46</v>
      </c>
      <c r="C692" s="2" t="s">
        <v>112</v>
      </c>
      <c r="D692" s="2" t="s">
        <v>1024</v>
      </c>
      <c r="E692" s="3" t="s">
        <v>43</v>
      </c>
      <c r="F692" s="3" t="s">
        <v>23</v>
      </c>
      <c r="G692" s="0" t="n">
        <v>1341</v>
      </c>
      <c r="H692" s="4" t="n">
        <v>42.96</v>
      </c>
      <c r="I692" s="4" t="n">
        <v>41.75</v>
      </c>
      <c r="J692" s="0" t="n">
        <v>39</v>
      </c>
      <c r="K692" s="3" t="s">
        <v>24</v>
      </c>
      <c r="L692" s="3" t="n">
        <f aca="false">IF(D692="","",IF(D692-C692&lt;0,"",D692-C692))</f>
        <v>2</v>
      </c>
      <c r="M692" s="4" t="n">
        <f aca="false">G692*I692</f>
        <v>55986.75</v>
      </c>
      <c r="N692" s="5" t="n">
        <f aca="false">IF(J692="","",J692/G692*100)</f>
        <v>2.9082774049217</v>
      </c>
      <c r="O692" s="5" t="n">
        <f aca="false">(H692-I692)/H692*100</f>
        <v>2.81657355679702</v>
      </c>
      <c r="P692" s="3" t="n">
        <f aca="false">IF(OR(F692="Delivered",F692="Partially Delivered"),1,0)</f>
        <v>0</v>
      </c>
      <c r="Q692" s="3" t="n">
        <f aca="false">IF(F692="Cancelled",1,0)</f>
        <v>1</v>
      </c>
      <c r="R692" s="3" t="n">
        <f aca="false">IF(K692="Yes",1,0)</f>
        <v>1</v>
      </c>
    </row>
    <row r="693" customFormat="false" ht="15" hidden="false" customHeight="false" outlineLevel="0" collapsed="false">
      <c r="A693" s="0" t="s">
        <v>1336</v>
      </c>
      <c r="B693" s="0" t="s">
        <v>19</v>
      </c>
      <c r="C693" s="2" t="s">
        <v>717</v>
      </c>
      <c r="D693" s="2" t="s">
        <v>369</v>
      </c>
      <c r="E693" s="3" t="s">
        <v>34</v>
      </c>
      <c r="F693" s="3" t="s">
        <v>23</v>
      </c>
      <c r="G693" s="0" t="n">
        <v>1908</v>
      </c>
      <c r="H693" s="4" t="n">
        <v>16.42</v>
      </c>
      <c r="I693" s="4" t="n">
        <v>15.31</v>
      </c>
      <c r="J693" s="0" t="n">
        <v>36</v>
      </c>
      <c r="K693" s="3" t="s">
        <v>24</v>
      </c>
      <c r="L693" s="3" t="n">
        <f aca="false">IF(D693="","",IF(D693-C693&lt;0,"",D693-C693))</f>
        <v>6</v>
      </c>
      <c r="M693" s="4" t="n">
        <f aca="false">G693*I693</f>
        <v>29211.48</v>
      </c>
      <c r="N693" s="5" t="n">
        <f aca="false">IF(J693="","",J693/G693*100)</f>
        <v>1.88679245283019</v>
      </c>
      <c r="O693" s="5" t="n">
        <f aca="false">(H693-I693)/H693*100</f>
        <v>6.76004872107187</v>
      </c>
      <c r="P693" s="3" t="n">
        <f aca="false">IF(OR(F693="Delivered",F693="Partially Delivered"),1,0)</f>
        <v>0</v>
      </c>
      <c r="Q693" s="3" t="n">
        <f aca="false">IF(F693="Cancelled",1,0)</f>
        <v>1</v>
      </c>
      <c r="R693" s="3" t="n">
        <f aca="false">IF(K693="Yes",1,0)</f>
        <v>1</v>
      </c>
    </row>
    <row r="694" customFormat="false" ht="15" hidden="false" customHeight="false" outlineLevel="0" collapsed="false">
      <c r="A694" s="0" t="s">
        <v>1337</v>
      </c>
      <c r="B694" s="0" t="s">
        <v>31</v>
      </c>
      <c r="C694" s="2" t="s">
        <v>288</v>
      </c>
      <c r="D694" s="2" t="s">
        <v>823</v>
      </c>
      <c r="E694" s="3" t="s">
        <v>34</v>
      </c>
      <c r="F694" s="3" t="s">
        <v>58</v>
      </c>
      <c r="G694" s="0" t="n">
        <v>1650</v>
      </c>
      <c r="H694" s="4" t="n">
        <v>100.62</v>
      </c>
      <c r="I694" s="4" t="n">
        <v>90.45</v>
      </c>
      <c r="J694" s="0" t="n">
        <v>85</v>
      </c>
      <c r="K694" s="3" t="s">
        <v>24</v>
      </c>
      <c r="L694" s="3" t="n">
        <f aca="false">IF(D694="","",IF(D694-C694&lt;0,"",D694-C694))</f>
        <v>20</v>
      </c>
      <c r="M694" s="4" t="n">
        <f aca="false">G694*I694</f>
        <v>149242.5</v>
      </c>
      <c r="N694" s="5" t="n">
        <f aca="false">IF(J694="","",J694/G694*100)</f>
        <v>5.15151515151515</v>
      </c>
      <c r="O694" s="5" t="n">
        <f aca="false">(H694-I694)/H694*100</f>
        <v>10.1073345259392</v>
      </c>
      <c r="P694" s="3" t="n">
        <f aca="false">IF(OR(F694="Delivered",F694="Partially Delivered"),1,0)</f>
        <v>1</v>
      </c>
      <c r="Q694" s="3" t="n">
        <f aca="false">IF(F694="Cancelled",1,0)</f>
        <v>0</v>
      </c>
      <c r="R694" s="3" t="n">
        <f aca="false">IF(K694="Yes",1,0)</f>
        <v>1</v>
      </c>
    </row>
    <row r="695" customFormat="false" ht="15" hidden="false" customHeight="false" outlineLevel="0" collapsed="false">
      <c r="A695" s="0" t="s">
        <v>1338</v>
      </c>
      <c r="B695" s="0" t="s">
        <v>19</v>
      </c>
      <c r="C695" s="2" t="s">
        <v>857</v>
      </c>
      <c r="D695" s="2" t="s">
        <v>739</v>
      </c>
      <c r="E695" s="3" t="s">
        <v>34</v>
      </c>
      <c r="F695" s="3" t="s">
        <v>29</v>
      </c>
      <c r="G695" s="0" t="n">
        <v>1490</v>
      </c>
      <c r="H695" s="4" t="n">
        <v>93.57</v>
      </c>
      <c r="I695" s="4" t="n">
        <v>81.68</v>
      </c>
      <c r="J695" s="0" t="n">
        <v>29</v>
      </c>
      <c r="K695" s="3" t="s">
        <v>24</v>
      </c>
      <c r="L695" s="3" t="n">
        <f aca="false">IF(D695="","",IF(D695-C695&lt;0,"",D695-C695))</f>
        <v>13</v>
      </c>
      <c r="M695" s="4" t="n">
        <f aca="false">G695*I695</f>
        <v>121703.2</v>
      </c>
      <c r="N695" s="5" t="n">
        <f aca="false">IF(J695="","",J695/G695*100)</f>
        <v>1.94630872483221</v>
      </c>
      <c r="O695" s="5" t="n">
        <f aca="false">(H695-I695)/H695*100</f>
        <v>12.7070642299882</v>
      </c>
      <c r="P695" s="3" t="n">
        <f aca="false">IF(OR(F695="Delivered",F695="Partially Delivered"),1,0)</f>
        <v>1</v>
      </c>
      <c r="Q695" s="3" t="n">
        <f aca="false">IF(F695="Cancelled",1,0)</f>
        <v>0</v>
      </c>
      <c r="R695" s="3" t="n">
        <f aca="false">IF(K695="Yes",1,0)</f>
        <v>1</v>
      </c>
    </row>
    <row r="696" customFormat="false" ht="15" hidden="false" customHeight="false" outlineLevel="0" collapsed="false">
      <c r="A696" s="0" t="s">
        <v>1339</v>
      </c>
      <c r="B696" s="0" t="s">
        <v>26</v>
      </c>
      <c r="C696" s="2" t="s">
        <v>1078</v>
      </c>
      <c r="D696" s="2" t="s">
        <v>1079</v>
      </c>
      <c r="E696" s="3" t="s">
        <v>43</v>
      </c>
      <c r="F696" s="3" t="s">
        <v>29</v>
      </c>
      <c r="G696" s="0" t="n">
        <v>1241</v>
      </c>
      <c r="H696" s="4" t="n">
        <v>100.04</v>
      </c>
      <c r="I696" s="4" t="n">
        <v>97.56</v>
      </c>
      <c r="J696" s="0" t="n">
        <v>187</v>
      </c>
      <c r="K696" s="3" t="s">
        <v>24</v>
      </c>
      <c r="L696" s="3" t="n">
        <f aca="false">IF(D696="","",IF(D696-C696&lt;0,"",D696-C696))</f>
        <v>8</v>
      </c>
      <c r="M696" s="4" t="n">
        <f aca="false">G696*I696</f>
        <v>121071.96</v>
      </c>
      <c r="N696" s="5" t="n">
        <f aca="false">IF(J696="","",J696/G696*100)</f>
        <v>15.0684931506849</v>
      </c>
      <c r="O696" s="5" t="n">
        <f aca="false">(H696-I696)/H696*100</f>
        <v>2.47900839664135</v>
      </c>
      <c r="P696" s="3" t="n">
        <f aca="false">IF(OR(F696="Delivered",F696="Partially Delivered"),1,0)</f>
        <v>1</v>
      </c>
      <c r="Q696" s="3" t="n">
        <f aca="false">IF(F696="Cancelled",1,0)</f>
        <v>0</v>
      </c>
      <c r="R696" s="3" t="n">
        <f aca="false">IF(K696="Yes",1,0)</f>
        <v>1</v>
      </c>
    </row>
    <row r="697" customFormat="false" ht="15" hidden="false" customHeight="false" outlineLevel="0" collapsed="false">
      <c r="A697" s="0" t="s">
        <v>1340</v>
      </c>
      <c r="B697" s="0" t="s">
        <v>36</v>
      </c>
      <c r="C697" s="2" t="s">
        <v>510</v>
      </c>
      <c r="D697" s="2" t="s">
        <v>524</v>
      </c>
      <c r="E697" s="3" t="s">
        <v>34</v>
      </c>
      <c r="F697" s="3" t="s">
        <v>29</v>
      </c>
      <c r="G697" s="0" t="n">
        <v>1915</v>
      </c>
      <c r="H697" s="4" t="n">
        <v>107.51</v>
      </c>
      <c r="I697" s="4" t="n">
        <v>102.66</v>
      </c>
      <c r="J697" s="0" t="n">
        <v>184</v>
      </c>
      <c r="K697" s="3" t="s">
        <v>24</v>
      </c>
      <c r="L697" s="3" t="n">
        <f aca="false">IF(D697="","",IF(D697-C697&lt;0,"",D697-C697))</f>
        <v>4</v>
      </c>
      <c r="M697" s="4" t="n">
        <f aca="false">G697*I697</f>
        <v>196593.9</v>
      </c>
      <c r="N697" s="5" t="n">
        <f aca="false">IF(J697="","",J697/G697*100)</f>
        <v>9.60835509138381</v>
      </c>
      <c r="O697" s="5" t="n">
        <f aca="false">(H697-I697)/H697*100</f>
        <v>4.51120825969678</v>
      </c>
      <c r="P697" s="3" t="n">
        <f aca="false">IF(OR(F697="Delivered",F697="Partially Delivered"),1,0)</f>
        <v>1</v>
      </c>
      <c r="Q697" s="3" t="n">
        <f aca="false">IF(F697="Cancelled",1,0)</f>
        <v>0</v>
      </c>
      <c r="R697" s="3" t="n">
        <f aca="false">IF(K697="Yes",1,0)</f>
        <v>1</v>
      </c>
    </row>
    <row r="698" customFormat="false" ht="15" hidden="false" customHeight="false" outlineLevel="0" collapsed="false">
      <c r="A698" s="0" t="s">
        <v>1341</v>
      </c>
      <c r="B698" s="0" t="s">
        <v>36</v>
      </c>
      <c r="C698" s="2" t="s">
        <v>490</v>
      </c>
      <c r="D698" s="2" t="s">
        <v>167</v>
      </c>
      <c r="E698" s="3" t="s">
        <v>43</v>
      </c>
      <c r="F698" s="3" t="s">
        <v>29</v>
      </c>
      <c r="G698" s="0" t="n">
        <v>1116</v>
      </c>
      <c r="H698" s="4" t="n">
        <v>25.65</v>
      </c>
      <c r="I698" s="4" t="n">
        <v>24.28</v>
      </c>
      <c r="J698" s="0" t="n">
        <v>121</v>
      </c>
      <c r="K698" s="3" t="s">
        <v>24</v>
      </c>
      <c r="L698" s="3" t="n">
        <f aca="false">IF(D698="","",IF(D698-C698&lt;0,"",D698-C698))</f>
        <v>15</v>
      </c>
      <c r="M698" s="4" t="n">
        <f aca="false">G698*I698</f>
        <v>27096.48</v>
      </c>
      <c r="N698" s="5" t="n">
        <f aca="false">IF(J698="","",J698/G698*100)</f>
        <v>10.84229390681</v>
      </c>
      <c r="O698" s="5" t="n">
        <f aca="false">(H698-I698)/H698*100</f>
        <v>5.34113060428849</v>
      </c>
      <c r="P698" s="3" t="n">
        <f aca="false">IF(OR(F698="Delivered",F698="Partially Delivered"),1,0)</f>
        <v>1</v>
      </c>
      <c r="Q698" s="3" t="n">
        <f aca="false">IF(F698="Cancelled",1,0)</f>
        <v>0</v>
      </c>
      <c r="R698" s="3" t="n">
        <f aca="false">IF(K698="Yes",1,0)</f>
        <v>1</v>
      </c>
    </row>
    <row r="699" customFormat="false" ht="15" hidden="false" customHeight="false" outlineLevel="0" collapsed="false">
      <c r="A699" s="0" t="s">
        <v>1342</v>
      </c>
      <c r="B699" s="0" t="s">
        <v>26</v>
      </c>
      <c r="C699" s="2" t="s">
        <v>1138</v>
      </c>
      <c r="D699" s="2" t="s">
        <v>224</v>
      </c>
      <c r="E699" s="3" t="s">
        <v>43</v>
      </c>
      <c r="F699" s="3" t="s">
        <v>29</v>
      </c>
      <c r="G699" s="0" t="n">
        <v>1629</v>
      </c>
      <c r="H699" s="4" t="n">
        <v>48.63</v>
      </c>
      <c r="I699" s="4" t="n">
        <v>43.28</v>
      </c>
      <c r="J699" s="0" t="n">
        <v>260</v>
      </c>
      <c r="K699" s="3" t="s">
        <v>24</v>
      </c>
      <c r="L699" s="3" t="n">
        <f aca="false">IF(D699="","",IF(D699-C699&lt;0,"",D699-C699))</f>
        <v>5</v>
      </c>
      <c r="M699" s="4" t="n">
        <f aca="false">G699*I699</f>
        <v>70503.12</v>
      </c>
      <c r="N699" s="5" t="n">
        <f aca="false">IF(J699="","",J699/G699*100)</f>
        <v>15.9607120933088</v>
      </c>
      <c r="O699" s="5" t="n">
        <f aca="false">(H699-I699)/H699*100</f>
        <v>11.0014394406745</v>
      </c>
      <c r="P699" s="3" t="n">
        <f aca="false">IF(OR(F699="Delivered",F699="Partially Delivered"),1,0)</f>
        <v>1</v>
      </c>
      <c r="Q699" s="3" t="n">
        <f aca="false">IF(F699="Cancelled",1,0)</f>
        <v>0</v>
      </c>
      <c r="R699" s="3" t="n">
        <f aca="false">IF(K699="Yes",1,0)</f>
        <v>1</v>
      </c>
    </row>
    <row r="700" customFormat="false" ht="15" hidden="false" customHeight="false" outlineLevel="0" collapsed="false">
      <c r="A700" s="0" t="s">
        <v>1343</v>
      </c>
      <c r="B700" s="0" t="s">
        <v>46</v>
      </c>
      <c r="C700" s="2" t="s">
        <v>144</v>
      </c>
      <c r="D700" s="2" t="s">
        <v>576</v>
      </c>
      <c r="E700" s="3" t="s">
        <v>22</v>
      </c>
      <c r="F700" s="3" t="s">
        <v>29</v>
      </c>
      <c r="G700" s="0" t="n">
        <v>334</v>
      </c>
      <c r="H700" s="4" t="n">
        <v>82.54</v>
      </c>
      <c r="I700" s="4" t="n">
        <v>74.63</v>
      </c>
      <c r="K700" s="3" t="s">
        <v>24</v>
      </c>
      <c r="L700" s="3" t="n">
        <f aca="false">IF(D700="","",IF(D700-C700&lt;0,"",D700-C700))</f>
        <v>7</v>
      </c>
      <c r="M700" s="4" t="n">
        <f aca="false">G700*I700</f>
        <v>24926.42</v>
      </c>
      <c r="N700" s="5" t="str">
        <f aca="false">IF(J700="","",J700/G700*100)</f>
        <v/>
      </c>
      <c r="O700" s="5" t="n">
        <f aca="false">(H700-I700)/H700*100</f>
        <v>9.5832323721832</v>
      </c>
      <c r="P700" s="3" t="n">
        <f aca="false">IF(OR(F700="Delivered",F700="Partially Delivered"),1,0)</f>
        <v>1</v>
      </c>
      <c r="Q700" s="3" t="n">
        <f aca="false">IF(F700="Cancelled",1,0)</f>
        <v>0</v>
      </c>
      <c r="R700" s="3" t="n">
        <f aca="false">IF(K700="Yes",1,0)</f>
        <v>1</v>
      </c>
    </row>
    <row r="701" customFormat="false" ht="15" hidden="false" customHeight="false" outlineLevel="0" collapsed="false">
      <c r="A701" s="0" t="s">
        <v>1344</v>
      </c>
      <c r="B701" s="0" t="s">
        <v>46</v>
      </c>
      <c r="C701" s="2" t="s">
        <v>1179</v>
      </c>
      <c r="D701" s="2" t="s">
        <v>283</v>
      </c>
      <c r="E701" s="3" t="s">
        <v>39</v>
      </c>
      <c r="F701" s="3" t="s">
        <v>29</v>
      </c>
      <c r="G701" s="0" t="n">
        <v>446</v>
      </c>
      <c r="H701" s="4" t="n">
        <v>80.63</v>
      </c>
      <c r="I701" s="4" t="n">
        <v>70.37</v>
      </c>
      <c r="K701" s="3" t="s">
        <v>24</v>
      </c>
      <c r="L701" s="3" t="n">
        <f aca="false">IF(D701="","",IF(D701-C701&lt;0,"",D701-C701))</f>
        <v>20</v>
      </c>
      <c r="M701" s="4" t="n">
        <f aca="false">G701*I701</f>
        <v>31385.02</v>
      </c>
      <c r="N701" s="5" t="str">
        <f aca="false">IF(J701="","",J701/G701*100)</f>
        <v/>
      </c>
      <c r="O701" s="5" t="n">
        <f aca="false">(H701-I701)/H701*100</f>
        <v>12.724792260945</v>
      </c>
      <c r="P701" s="3" t="n">
        <f aca="false">IF(OR(F701="Delivered",F701="Partially Delivered"),1,0)</f>
        <v>1</v>
      </c>
      <c r="Q701" s="3" t="n">
        <f aca="false">IF(F701="Cancelled",1,0)</f>
        <v>0</v>
      </c>
      <c r="R701" s="3" t="n">
        <f aca="false">IF(K701="Yes",1,0)</f>
        <v>1</v>
      </c>
    </row>
    <row r="702" customFormat="false" ht="15" hidden="false" customHeight="false" outlineLevel="0" collapsed="false">
      <c r="A702" s="0" t="s">
        <v>1345</v>
      </c>
      <c r="B702" s="0" t="s">
        <v>26</v>
      </c>
      <c r="C702" s="2" t="s">
        <v>1057</v>
      </c>
      <c r="D702" s="2"/>
      <c r="E702" s="3" t="s">
        <v>71</v>
      </c>
      <c r="F702" s="3" t="s">
        <v>29</v>
      </c>
      <c r="G702" s="0" t="n">
        <v>61</v>
      </c>
      <c r="H702" s="4" t="n">
        <v>26.47</v>
      </c>
      <c r="I702" s="4" t="n">
        <v>24.62</v>
      </c>
      <c r="J702" s="0" t="n">
        <v>6</v>
      </c>
      <c r="K702" s="3" t="s">
        <v>24</v>
      </c>
      <c r="L702" s="0" t="str">
        <f aca="false">IF(D702="","",IF(D702-C702&lt;0,"",D702-C702))</f>
        <v/>
      </c>
      <c r="M702" s="4" t="n">
        <f aca="false">G702*I702</f>
        <v>1501.82</v>
      </c>
      <c r="N702" s="5" t="n">
        <f aca="false">IF(J702="","",J702/G702*100)</f>
        <v>9.83606557377049</v>
      </c>
      <c r="O702" s="5" t="n">
        <f aca="false">(H702-I702)/H702*100</f>
        <v>6.98904420098224</v>
      </c>
      <c r="P702" s="3" t="n">
        <f aca="false">IF(OR(F702="Delivered",F702="Partially Delivered"),1,0)</f>
        <v>1</v>
      </c>
      <c r="Q702" s="3" t="n">
        <f aca="false">IF(F702="Cancelled",1,0)</f>
        <v>0</v>
      </c>
      <c r="R702" s="3" t="n">
        <f aca="false">IF(K702="Yes",1,0)</f>
        <v>1</v>
      </c>
    </row>
    <row r="703" customFormat="false" ht="15" hidden="false" customHeight="false" outlineLevel="0" collapsed="false">
      <c r="A703" s="0" t="s">
        <v>1346</v>
      </c>
      <c r="B703" s="0" t="s">
        <v>26</v>
      </c>
      <c r="C703" s="2" t="s">
        <v>1347</v>
      </c>
      <c r="D703" s="2" t="s">
        <v>635</v>
      </c>
      <c r="E703" s="3" t="s">
        <v>39</v>
      </c>
      <c r="F703" s="3" t="s">
        <v>29</v>
      </c>
      <c r="G703" s="0" t="n">
        <v>1680</v>
      </c>
      <c r="H703" s="4" t="n">
        <v>88.85</v>
      </c>
      <c r="I703" s="4" t="n">
        <v>87.53</v>
      </c>
      <c r="K703" s="3" t="s">
        <v>24</v>
      </c>
      <c r="L703" s="3" t="n">
        <f aca="false">IF(D703="","",IF(D703-C703&lt;0,"",D703-C703))</f>
        <v>2</v>
      </c>
      <c r="M703" s="4" t="n">
        <f aca="false">G703*I703</f>
        <v>147050.4</v>
      </c>
      <c r="N703" s="5" t="str">
        <f aca="false">IF(J703="","",J703/G703*100)</f>
        <v/>
      </c>
      <c r="O703" s="5" t="n">
        <f aca="false">(H703-I703)/H703*100</f>
        <v>1.48564997186268</v>
      </c>
      <c r="P703" s="3" t="n">
        <f aca="false">IF(OR(F703="Delivered",F703="Partially Delivered"),1,0)</f>
        <v>1</v>
      </c>
      <c r="Q703" s="3" t="n">
        <f aca="false">IF(F703="Cancelled",1,0)</f>
        <v>0</v>
      </c>
      <c r="R703" s="3" t="n">
        <f aca="false">IF(K703="Yes",1,0)</f>
        <v>1</v>
      </c>
    </row>
    <row r="704" customFormat="false" ht="15" hidden="false" customHeight="false" outlineLevel="0" collapsed="false">
      <c r="A704" s="0" t="s">
        <v>1348</v>
      </c>
      <c r="B704" s="0" t="s">
        <v>26</v>
      </c>
      <c r="C704" s="2" t="s">
        <v>529</v>
      </c>
      <c r="D704" s="2" t="s">
        <v>272</v>
      </c>
      <c r="E704" s="3" t="s">
        <v>71</v>
      </c>
      <c r="F704" s="3" t="s">
        <v>29</v>
      </c>
      <c r="G704" s="0" t="n">
        <v>1375</v>
      </c>
      <c r="H704" s="4" t="n">
        <v>30.95</v>
      </c>
      <c r="I704" s="4" t="n">
        <v>30.02</v>
      </c>
      <c r="J704" s="0" t="n">
        <v>223</v>
      </c>
      <c r="K704" s="3" t="s">
        <v>24</v>
      </c>
      <c r="L704" s="3" t="n">
        <f aca="false">IF(D704="","",IF(D704-C704&lt;0,"",D704-C704))</f>
        <v>17</v>
      </c>
      <c r="M704" s="4" t="n">
        <f aca="false">G704*I704</f>
        <v>41277.5</v>
      </c>
      <c r="N704" s="5" t="n">
        <f aca="false">IF(J704="","",J704/G704*100)</f>
        <v>16.2181818181818</v>
      </c>
      <c r="O704" s="5" t="n">
        <f aca="false">(H704-I704)/H704*100</f>
        <v>3.0048465266559</v>
      </c>
      <c r="P704" s="3" t="n">
        <f aca="false">IF(OR(F704="Delivered",F704="Partially Delivered"),1,0)</f>
        <v>1</v>
      </c>
      <c r="Q704" s="3" t="n">
        <f aca="false">IF(F704="Cancelled",1,0)</f>
        <v>0</v>
      </c>
      <c r="R704" s="3" t="n">
        <f aca="false">IF(K704="Yes",1,0)</f>
        <v>1</v>
      </c>
    </row>
    <row r="705" customFormat="false" ht="15" hidden="false" customHeight="false" outlineLevel="0" collapsed="false">
      <c r="A705" s="0" t="s">
        <v>1349</v>
      </c>
      <c r="B705" s="0" t="s">
        <v>26</v>
      </c>
      <c r="C705" s="2" t="s">
        <v>656</v>
      </c>
      <c r="D705" s="2" t="s">
        <v>1244</v>
      </c>
      <c r="E705" s="3" t="s">
        <v>71</v>
      </c>
      <c r="F705" s="3" t="s">
        <v>58</v>
      </c>
      <c r="G705" s="0" t="n">
        <v>1971</v>
      </c>
      <c r="H705" s="4" t="n">
        <v>32.4</v>
      </c>
      <c r="I705" s="4" t="n">
        <v>30.48</v>
      </c>
      <c r="J705" s="0" t="n">
        <v>321</v>
      </c>
      <c r="K705" s="3" t="s">
        <v>24</v>
      </c>
      <c r="L705" s="3" t="n">
        <f aca="false">IF(D705="","",IF(D705-C705&lt;0,"",D705-C705))</f>
        <v>11</v>
      </c>
      <c r="M705" s="4" t="n">
        <f aca="false">G705*I705</f>
        <v>60076.08</v>
      </c>
      <c r="N705" s="5" t="n">
        <f aca="false">IF(J705="","",J705/G705*100)</f>
        <v>16.2861491628615</v>
      </c>
      <c r="O705" s="5" t="n">
        <f aca="false">(H705-I705)/H705*100</f>
        <v>5.92592592592592</v>
      </c>
      <c r="P705" s="3" t="n">
        <f aca="false">IF(OR(F705="Delivered",F705="Partially Delivered"),1,0)</f>
        <v>1</v>
      </c>
      <c r="Q705" s="3" t="n">
        <f aca="false">IF(F705="Cancelled",1,0)</f>
        <v>0</v>
      </c>
      <c r="R705" s="3" t="n">
        <f aca="false">IF(K705="Yes",1,0)</f>
        <v>1</v>
      </c>
    </row>
    <row r="706" customFormat="false" ht="15" hidden="false" customHeight="false" outlineLevel="0" collapsed="false">
      <c r="A706" s="0" t="s">
        <v>1350</v>
      </c>
      <c r="B706" s="0" t="s">
        <v>26</v>
      </c>
      <c r="C706" s="2" t="s">
        <v>973</v>
      </c>
      <c r="D706" s="2"/>
      <c r="E706" s="3" t="s">
        <v>43</v>
      </c>
      <c r="F706" s="3" t="s">
        <v>62</v>
      </c>
      <c r="G706" s="0" t="n">
        <v>1326</v>
      </c>
      <c r="H706" s="4" t="n">
        <v>59.49</v>
      </c>
      <c r="I706" s="4" t="n">
        <v>56.21</v>
      </c>
      <c r="K706" s="3" t="s">
        <v>24</v>
      </c>
      <c r="L706" s="0" t="str">
        <f aca="false">IF(D706="","",IF(D706-C706&lt;0,"",D706-C706))</f>
        <v/>
      </c>
      <c r="M706" s="4" t="n">
        <f aca="false">G706*I706</f>
        <v>74534.46</v>
      </c>
      <c r="N706" s="5" t="str">
        <f aca="false">IF(J706="","",J706/G706*100)</f>
        <v/>
      </c>
      <c r="O706" s="5" t="n">
        <f aca="false">(H706-I706)/H706*100</f>
        <v>5.51353168599765</v>
      </c>
      <c r="P706" s="3" t="n">
        <f aca="false">IF(OR(F706="Delivered",F706="Partially Delivered"),1,0)</f>
        <v>0</v>
      </c>
      <c r="Q706" s="3" t="n">
        <f aca="false">IF(F706="Cancelled",1,0)</f>
        <v>0</v>
      </c>
      <c r="R706" s="3" t="n">
        <f aca="false">IF(K706="Yes",1,0)</f>
        <v>1</v>
      </c>
    </row>
    <row r="707" customFormat="false" ht="15" hidden="false" customHeight="false" outlineLevel="0" collapsed="false">
      <c r="A707" s="0" t="s">
        <v>1351</v>
      </c>
      <c r="B707" s="0" t="s">
        <v>26</v>
      </c>
      <c r="C707" s="2" t="s">
        <v>1352</v>
      </c>
      <c r="D707" s="2" t="s">
        <v>231</v>
      </c>
      <c r="E707" s="3" t="s">
        <v>34</v>
      </c>
      <c r="F707" s="3" t="s">
        <v>23</v>
      </c>
      <c r="G707" s="0" t="n">
        <v>548</v>
      </c>
      <c r="H707" s="4" t="n">
        <v>69.7</v>
      </c>
      <c r="I707" s="4" t="n">
        <v>61.87</v>
      </c>
      <c r="J707" s="0" t="n">
        <v>90</v>
      </c>
      <c r="K707" s="3" t="s">
        <v>24</v>
      </c>
      <c r="L707" s="3" t="n">
        <f aca="false">IF(D707="","",IF(D707-C707&lt;0,"",D707-C707))</f>
        <v>13</v>
      </c>
      <c r="M707" s="4" t="n">
        <f aca="false">G707*I707</f>
        <v>33904.76</v>
      </c>
      <c r="N707" s="5" t="n">
        <f aca="false">IF(J707="","",J707/G707*100)</f>
        <v>16.4233576642336</v>
      </c>
      <c r="O707" s="5" t="n">
        <f aca="false">(H707-I707)/H707*100</f>
        <v>11.2338593974175</v>
      </c>
      <c r="P707" s="3" t="n">
        <f aca="false">IF(OR(F707="Delivered",F707="Partially Delivered"),1,0)</f>
        <v>0</v>
      </c>
      <c r="Q707" s="3" t="n">
        <f aca="false">IF(F707="Cancelled",1,0)</f>
        <v>1</v>
      </c>
      <c r="R707" s="3" t="n">
        <f aca="false">IF(K707="Yes",1,0)</f>
        <v>1</v>
      </c>
    </row>
    <row r="708" customFormat="false" ht="15" hidden="false" customHeight="false" outlineLevel="0" collapsed="false">
      <c r="A708" s="0" t="s">
        <v>1353</v>
      </c>
      <c r="B708" s="0" t="s">
        <v>36</v>
      </c>
      <c r="C708" s="2" t="s">
        <v>267</v>
      </c>
      <c r="D708" s="2" t="s">
        <v>472</v>
      </c>
      <c r="E708" s="3" t="s">
        <v>34</v>
      </c>
      <c r="F708" s="3" t="s">
        <v>29</v>
      </c>
      <c r="G708" s="0" t="n">
        <v>803</v>
      </c>
      <c r="H708" s="4" t="n">
        <v>67.81</v>
      </c>
      <c r="I708" s="4" t="n">
        <v>61.53</v>
      </c>
      <c r="J708" s="0" t="n">
        <v>78</v>
      </c>
      <c r="K708" s="3" t="s">
        <v>24</v>
      </c>
      <c r="L708" s="3" t="n">
        <f aca="false">IF(D708="","",IF(D708-C708&lt;0,"",D708-C708))</f>
        <v>6</v>
      </c>
      <c r="M708" s="4" t="n">
        <f aca="false">G708*I708</f>
        <v>49408.59</v>
      </c>
      <c r="N708" s="5" t="n">
        <f aca="false">IF(J708="","",J708/G708*100)</f>
        <v>9.71357409713574</v>
      </c>
      <c r="O708" s="5" t="n">
        <f aca="false">(H708-I708)/H708*100</f>
        <v>9.26117091874355</v>
      </c>
      <c r="P708" s="3" t="n">
        <f aca="false">IF(OR(F708="Delivered",F708="Partially Delivered"),1,0)</f>
        <v>1</v>
      </c>
      <c r="Q708" s="3" t="n">
        <f aca="false">IF(F708="Cancelled",1,0)</f>
        <v>0</v>
      </c>
      <c r="R708" s="3" t="n">
        <f aca="false">IF(K708="Yes",1,0)</f>
        <v>1</v>
      </c>
    </row>
    <row r="709" customFormat="false" ht="15" hidden="false" customHeight="false" outlineLevel="0" collapsed="false">
      <c r="A709" s="0" t="s">
        <v>1354</v>
      </c>
      <c r="B709" s="0" t="s">
        <v>19</v>
      </c>
      <c r="C709" s="2" t="s">
        <v>93</v>
      </c>
      <c r="D709" s="2" t="s">
        <v>33</v>
      </c>
      <c r="E709" s="3" t="s">
        <v>34</v>
      </c>
      <c r="F709" s="3" t="s">
        <v>29</v>
      </c>
      <c r="G709" s="0" t="n">
        <v>84</v>
      </c>
      <c r="H709" s="4" t="n">
        <v>18.23</v>
      </c>
      <c r="I709" s="4" t="n">
        <v>15.55</v>
      </c>
      <c r="J709" s="0" t="n">
        <v>0</v>
      </c>
      <c r="K709" s="3" t="s">
        <v>24</v>
      </c>
      <c r="L709" s="3" t="n">
        <f aca="false">IF(D709="","",IF(D709-C709&lt;0,"",D709-C709))</f>
        <v>18</v>
      </c>
      <c r="M709" s="4" t="n">
        <f aca="false">G709*I709</f>
        <v>1306.2</v>
      </c>
      <c r="N709" s="5" t="n">
        <f aca="false">IF(J709="","",J709/G709*100)</f>
        <v>0</v>
      </c>
      <c r="O709" s="5" t="n">
        <f aca="false">(H709-I709)/H709*100</f>
        <v>14.7010422380691</v>
      </c>
      <c r="P709" s="3" t="n">
        <f aca="false">IF(OR(F709="Delivered",F709="Partially Delivered"),1,0)</f>
        <v>1</v>
      </c>
      <c r="Q709" s="3" t="n">
        <f aca="false">IF(F709="Cancelled",1,0)</f>
        <v>0</v>
      </c>
      <c r="R709" s="3" t="n">
        <f aca="false">IF(K709="Yes",1,0)</f>
        <v>1</v>
      </c>
    </row>
    <row r="710" customFormat="false" ht="15" hidden="false" customHeight="false" outlineLevel="0" collapsed="false">
      <c r="A710" s="0" t="s">
        <v>1355</v>
      </c>
      <c r="B710" s="0" t="s">
        <v>46</v>
      </c>
      <c r="C710" s="2" t="s">
        <v>224</v>
      </c>
      <c r="D710" s="2" t="s">
        <v>1147</v>
      </c>
      <c r="E710" s="3" t="s">
        <v>39</v>
      </c>
      <c r="F710" s="3" t="s">
        <v>29</v>
      </c>
      <c r="G710" s="0" t="n">
        <v>776</v>
      </c>
      <c r="H710" s="4" t="n">
        <v>94.75</v>
      </c>
      <c r="I710" s="4" t="n">
        <v>90.89</v>
      </c>
      <c r="J710" s="0" t="n">
        <v>19</v>
      </c>
      <c r="K710" s="3" t="s">
        <v>24</v>
      </c>
      <c r="L710" s="3" t="n">
        <f aca="false">IF(D710="","",IF(D710-C710&lt;0,"",D710-C710))</f>
        <v>12</v>
      </c>
      <c r="M710" s="4" t="n">
        <f aca="false">G710*I710</f>
        <v>70530.64</v>
      </c>
      <c r="N710" s="5" t="n">
        <f aca="false">IF(J710="","",J710/G710*100)</f>
        <v>2.44845360824742</v>
      </c>
      <c r="O710" s="5" t="n">
        <f aca="false">(H710-I710)/H710*100</f>
        <v>4.07387862796834</v>
      </c>
      <c r="P710" s="3" t="n">
        <f aca="false">IF(OR(F710="Delivered",F710="Partially Delivered"),1,0)</f>
        <v>1</v>
      </c>
      <c r="Q710" s="3" t="n">
        <f aca="false">IF(F710="Cancelled",1,0)</f>
        <v>0</v>
      </c>
      <c r="R710" s="3" t="n">
        <f aca="false">IF(K710="Yes",1,0)</f>
        <v>1</v>
      </c>
    </row>
    <row r="711" customFormat="false" ht="15" hidden="false" customHeight="false" outlineLevel="0" collapsed="false">
      <c r="A711" s="0" t="s">
        <v>1356</v>
      </c>
      <c r="B711" s="0" t="s">
        <v>19</v>
      </c>
      <c r="C711" s="2" t="s">
        <v>798</v>
      </c>
      <c r="D711" s="2" t="s">
        <v>1357</v>
      </c>
      <c r="E711" s="3" t="s">
        <v>34</v>
      </c>
      <c r="F711" s="3" t="s">
        <v>29</v>
      </c>
      <c r="G711" s="0" t="n">
        <v>898</v>
      </c>
      <c r="H711" s="4" t="n">
        <v>37.12</v>
      </c>
      <c r="I711" s="4" t="n">
        <v>35.54</v>
      </c>
      <c r="J711" s="0" t="n">
        <v>18</v>
      </c>
      <c r="K711" s="3" t="s">
        <v>44</v>
      </c>
      <c r="L711" s="3" t="n">
        <f aca="false">IF(D711="","",IF(D711-C711&lt;0,"",D711-C711))</f>
        <v>9</v>
      </c>
      <c r="M711" s="4" t="n">
        <f aca="false">G711*I711</f>
        <v>31914.92</v>
      </c>
      <c r="N711" s="5" t="n">
        <f aca="false">IF(J711="","",J711/G711*100)</f>
        <v>2.00445434298441</v>
      </c>
      <c r="O711" s="5" t="n">
        <f aca="false">(H711-I711)/H711*100</f>
        <v>4.25646551724138</v>
      </c>
      <c r="P711" s="3" t="n">
        <f aca="false">IF(OR(F711="Delivered",F711="Partially Delivered"),1,0)</f>
        <v>1</v>
      </c>
      <c r="Q711" s="3" t="n">
        <f aca="false">IF(F711="Cancelled",1,0)</f>
        <v>0</v>
      </c>
      <c r="R711" s="3" t="n">
        <f aca="false">IF(K711="Yes",1,0)</f>
        <v>0</v>
      </c>
    </row>
    <row r="712" customFormat="false" ht="15" hidden="false" customHeight="false" outlineLevel="0" collapsed="false">
      <c r="A712" s="0" t="s">
        <v>1358</v>
      </c>
      <c r="B712" s="0" t="s">
        <v>36</v>
      </c>
      <c r="C712" s="2" t="s">
        <v>527</v>
      </c>
      <c r="D712" s="2" t="s">
        <v>624</v>
      </c>
      <c r="E712" s="3" t="s">
        <v>22</v>
      </c>
      <c r="F712" s="3" t="s">
        <v>23</v>
      </c>
      <c r="G712" s="0" t="n">
        <v>139</v>
      </c>
      <c r="H712" s="4" t="n">
        <v>23.71</v>
      </c>
      <c r="I712" s="4" t="n">
        <v>20.18</v>
      </c>
      <c r="J712" s="0" t="n">
        <v>14</v>
      </c>
      <c r="K712" s="3" t="s">
        <v>24</v>
      </c>
      <c r="L712" s="3" t="n">
        <f aca="false">IF(D712="","",IF(D712-C712&lt;0,"",D712-C712))</f>
        <v>7</v>
      </c>
      <c r="M712" s="4" t="n">
        <f aca="false">G712*I712</f>
        <v>2805.02</v>
      </c>
      <c r="N712" s="5" t="n">
        <f aca="false">IF(J712="","",J712/G712*100)</f>
        <v>10.0719424460432</v>
      </c>
      <c r="O712" s="5" t="n">
        <f aca="false">(H712-I712)/H712*100</f>
        <v>14.888232813159</v>
      </c>
      <c r="P712" s="3" t="n">
        <f aca="false">IF(OR(F712="Delivered",F712="Partially Delivered"),1,0)</f>
        <v>0</v>
      </c>
      <c r="Q712" s="3" t="n">
        <f aca="false">IF(F712="Cancelled",1,0)</f>
        <v>1</v>
      </c>
      <c r="R712" s="3" t="n">
        <f aca="false">IF(K712="Yes",1,0)</f>
        <v>1</v>
      </c>
    </row>
    <row r="713" customFormat="false" ht="15" hidden="false" customHeight="false" outlineLevel="0" collapsed="false">
      <c r="A713" s="0" t="s">
        <v>1359</v>
      </c>
      <c r="B713" s="0" t="s">
        <v>31</v>
      </c>
      <c r="C713" s="2" t="s">
        <v>257</v>
      </c>
      <c r="D713" s="2"/>
      <c r="E713" s="3" t="s">
        <v>43</v>
      </c>
      <c r="F713" s="3" t="s">
        <v>29</v>
      </c>
      <c r="G713" s="0" t="n">
        <v>825</v>
      </c>
      <c r="H713" s="4" t="n">
        <v>99.89</v>
      </c>
      <c r="I713" s="4" t="n">
        <v>97.65</v>
      </c>
      <c r="J713" s="0" t="n">
        <v>30</v>
      </c>
      <c r="K713" s="3" t="s">
        <v>24</v>
      </c>
      <c r="L713" s="0" t="str">
        <f aca="false">IF(D713="","",IF(D713-C713&lt;0,"",D713-C713))</f>
        <v/>
      </c>
      <c r="M713" s="4" t="n">
        <f aca="false">G713*I713</f>
        <v>80561.25</v>
      </c>
      <c r="N713" s="5" t="n">
        <f aca="false">IF(J713="","",J713/G713*100)</f>
        <v>3.63636363636364</v>
      </c>
      <c r="O713" s="5" t="n">
        <f aca="false">(H713-I713)/H713*100</f>
        <v>2.24246671338472</v>
      </c>
      <c r="P713" s="3" t="n">
        <f aca="false">IF(OR(F713="Delivered",F713="Partially Delivered"),1,0)</f>
        <v>1</v>
      </c>
      <c r="Q713" s="3" t="n">
        <f aca="false">IF(F713="Cancelled",1,0)</f>
        <v>0</v>
      </c>
      <c r="R713" s="3" t="n">
        <f aca="false">IF(K713="Yes",1,0)</f>
        <v>1</v>
      </c>
    </row>
    <row r="714" customFormat="false" ht="15" hidden="false" customHeight="false" outlineLevel="0" collapsed="false">
      <c r="A714" s="0" t="s">
        <v>1360</v>
      </c>
      <c r="B714" s="0" t="s">
        <v>19</v>
      </c>
      <c r="C714" s="2" t="s">
        <v>93</v>
      </c>
      <c r="D714" s="2" t="s">
        <v>1361</v>
      </c>
      <c r="E714" s="3" t="s">
        <v>34</v>
      </c>
      <c r="F714" s="3" t="s">
        <v>29</v>
      </c>
      <c r="G714" s="0" t="n">
        <v>654</v>
      </c>
      <c r="H714" s="4" t="n">
        <v>96.01</v>
      </c>
      <c r="I714" s="4" t="n">
        <v>90.31</v>
      </c>
      <c r="J714" s="0" t="n">
        <v>10</v>
      </c>
      <c r="K714" s="3" t="s">
        <v>24</v>
      </c>
      <c r="L714" s="3" t="n">
        <f aca="false">IF(D714="","",IF(D714-C714&lt;0,"",D714-C714))</f>
        <v>10</v>
      </c>
      <c r="M714" s="4" t="n">
        <f aca="false">G714*I714</f>
        <v>59062.74</v>
      </c>
      <c r="N714" s="5" t="n">
        <f aca="false">IF(J714="","",J714/G714*100)</f>
        <v>1.52905198776758</v>
      </c>
      <c r="O714" s="5" t="n">
        <f aca="false">(H714-I714)/H714*100</f>
        <v>5.93688157483596</v>
      </c>
      <c r="P714" s="3" t="n">
        <f aca="false">IF(OR(F714="Delivered",F714="Partially Delivered"),1,0)</f>
        <v>1</v>
      </c>
      <c r="Q714" s="3" t="n">
        <f aca="false">IF(F714="Cancelled",1,0)</f>
        <v>0</v>
      </c>
      <c r="R714" s="3" t="n">
        <f aca="false">IF(K714="Yes",1,0)</f>
        <v>1</v>
      </c>
    </row>
    <row r="715" customFormat="false" ht="15" hidden="false" customHeight="false" outlineLevel="0" collapsed="false">
      <c r="A715" s="0" t="s">
        <v>1362</v>
      </c>
      <c r="B715" s="0" t="s">
        <v>31</v>
      </c>
      <c r="C715" s="2" t="s">
        <v>864</v>
      </c>
      <c r="D715" s="2" t="s">
        <v>78</v>
      </c>
      <c r="E715" s="3" t="s">
        <v>34</v>
      </c>
      <c r="F715" s="3" t="s">
        <v>29</v>
      </c>
      <c r="G715" s="0" t="n">
        <v>1995</v>
      </c>
      <c r="H715" s="4" t="n">
        <v>88.47</v>
      </c>
      <c r="I715" s="4" t="n">
        <v>82.65</v>
      </c>
      <c r="J715" s="0" t="n">
        <v>87</v>
      </c>
      <c r="K715" s="3" t="s">
        <v>44</v>
      </c>
      <c r="L715" s="3" t="n">
        <f aca="false">IF(D715="","",IF(D715-C715&lt;0,"",D715-C715))</f>
        <v>10</v>
      </c>
      <c r="M715" s="4" t="n">
        <f aca="false">G715*I715</f>
        <v>164886.75</v>
      </c>
      <c r="N715" s="5" t="n">
        <f aca="false">IF(J715="","",J715/G715*100)</f>
        <v>4.3609022556391</v>
      </c>
      <c r="O715" s="5" t="n">
        <f aca="false">(H715-I715)/H715*100</f>
        <v>6.57850118684299</v>
      </c>
      <c r="P715" s="3" t="n">
        <f aca="false">IF(OR(F715="Delivered",F715="Partially Delivered"),1,0)</f>
        <v>1</v>
      </c>
      <c r="Q715" s="3" t="n">
        <f aca="false">IF(F715="Cancelled",1,0)</f>
        <v>0</v>
      </c>
      <c r="R715" s="3" t="n">
        <f aca="false">IF(K715="Yes",1,0)</f>
        <v>0</v>
      </c>
    </row>
    <row r="716" customFormat="false" ht="15" hidden="false" customHeight="false" outlineLevel="0" collapsed="false">
      <c r="A716" s="0" t="s">
        <v>1363</v>
      </c>
      <c r="B716" s="0" t="s">
        <v>36</v>
      </c>
      <c r="C716" s="2" t="s">
        <v>329</v>
      </c>
      <c r="D716" s="2" t="s">
        <v>102</v>
      </c>
      <c r="E716" s="3" t="s">
        <v>34</v>
      </c>
      <c r="F716" s="3" t="s">
        <v>29</v>
      </c>
      <c r="G716" s="0" t="n">
        <v>1019</v>
      </c>
      <c r="H716" s="4" t="n">
        <v>91.56</v>
      </c>
      <c r="I716" s="4" t="n">
        <v>77.93</v>
      </c>
      <c r="J716" s="0" t="n">
        <v>111</v>
      </c>
      <c r="K716" s="3" t="s">
        <v>44</v>
      </c>
      <c r="L716" s="3" t="n">
        <f aca="false">IF(D716="","",IF(D716-C716&lt;0,"",D716-C716))</f>
        <v>7</v>
      </c>
      <c r="M716" s="4" t="n">
        <f aca="false">G716*I716</f>
        <v>79410.67</v>
      </c>
      <c r="N716" s="5" t="n">
        <f aca="false">IF(J716="","",J716/G716*100)</f>
        <v>10.8930323846909</v>
      </c>
      <c r="O716" s="5" t="n">
        <f aca="false">(H716-I716)/H716*100</f>
        <v>14.8864132809087</v>
      </c>
      <c r="P716" s="3" t="n">
        <f aca="false">IF(OR(F716="Delivered",F716="Partially Delivered"),1,0)</f>
        <v>1</v>
      </c>
      <c r="Q716" s="3" t="n">
        <f aca="false">IF(F716="Cancelled",1,0)</f>
        <v>0</v>
      </c>
      <c r="R716" s="3" t="n">
        <f aca="false">IF(K716="Yes",1,0)</f>
        <v>0</v>
      </c>
    </row>
    <row r="717" customFormat="false" ht="15" hidden="false" customHeight="false" outlineLevel="0" collapsed="false">
      <c r="A717" s="0" t="s">
        <v>1364</v>
      </c>
      <c r="B717" s="0" t="s">
        <v>46</v>
      </c>
      <c r="C717" s="2" t="s">
        <v>354</v>
      </c>
      <c r="D717" s="2" t="s">
        <v>1079</v>
      </c>
      <c r="E717" s="3" t="s">
        <v>39</v>
      </c>
      <c r="F717" s="3" t="s">
        <v>62</v>
      </c>
      <c r="G717" s="0" t="n">
        <v>1675</v>
      </c>
      <c r="H717" s="4" t="n">
        <v>73.8</v>
      </c>
      <c r="I717" s="4" t="n">
        <v>65.34</v>
      </c>
      <c r="J717" s="0" t="n">
        <v>42</v>
      </c>
      <c r="K717" s="3" t="s">
        <v>24</v>
      </c>
      <c r="L717" s="3" t="n">
        <f aca="false">IF(D717="","",IF(D717-C717&lt;0,"",D717-C717))</f>
        <v>16</v>
      </c>
      <c r="M717" s="4" t="n">
        <f aca="false">G717*I717</f>
        <v>109444.5</v>
      </c>
      <c r="N717" s="5" t="n">
        <f aca="false">IF(J717="","",J717/G717*100)</f>
        <v>2.50746268656716</v>
      </c>
      <c r="O717" s="5" t="n">
        <f aca="false">(H717-I717)/H717*100</f>
        <v>11.4634146341463</v>
      </c>
      <c r="P717" s="3" t="n">
        <f aca="false">IF(OR(F717="Delivered",F717="Partially Delivered"),1,0)</f>
        <v>0</v>
      </c>
      <c r="Q717" s="3" t="n">
        <f aca="false">IF(F717="Cancelled",1,0)</f>
        <v>0</v>
      </c>
      <c r="R717" s="3" t="n">
        <f aca="false">IF(K717="Yes",1,0)</f>
        <v>1</v>
      </c>
    </row>
    <row r="718" customFormat="false" ht="15" hidden="false" customHeight="false" outlineLevel="0" collapsed="false">
      <c r="A718" s="0" t="s">
        <v>1365</v>
      </c>
      <c r="B718" s="0" t="s">
        <v>31</v>
      </c>
      <c r="C718" s="2" t="s">
        <v>1366</v>
      </c>
      <c r="D718" s="2" t="s">
        <v>1191</v>
      </c>
      <c r="E718" s="3" t="s">
        <v>43</v>
      </c>
      <c r="F718" s="3" t="s">
        <v>62</v>
      </c>
      <c r="G718" s="0" t="n">
        <v>1071</v>
      </c>
      <c r="H718" s="4" t="n">
        <v>60.77</v>
      </c>
      <c r="I718" s="4" t="n">
        <v>58.5</v>
      </c>
      <c r="K718" s="3" t="s">
        <v>24</v>
      </c>
      <c r="L718" s="3" t="n">
        <f aca="false">IF(D718="","",IF(D718-C718&lt;0,"",D718-C718))</f>
        <v>12</v>
      </c>
      <c r="M718" s="4" t="n">
        <f aca="false">G718*I718</f>
        <v>62653.5</v>
      </c>
      <c r="N718" s="5" t="str">
        <f aca="false">IF(J718="","",J718/G718*100)</f>
        <v/>
      </c>
      <c r="O718" s="5" t="n">
        <f aca="false">(H718-I718)/H718*100</f>
        <v>3.73539575448413</v>
      </c>
      <c r="P718" s="3" t="n">
        <f aca="false">IF(OR(F718="Delivered",F718="Partially Delivered"),1,0)</f>
        <v>0</v>
      </c>
      <c r="Q718" s="3" t="n">
        <f aca="false">IF(F718="Cancelled",1,0)</f>
        <v>0</v>
      </c>
      <c r="R718" s="3" t="n">
        <f aca="false">IF(K718="Yes",1,0)</f>
        <v>1</v>
      </c>
    </row>
    <row r="719" customFormat="false" ht="15" hidden="false" customHeight="false" outlineLevel="0" collapsed="false">
      <c r="A719" s="0" t="s">
        <v>1367</v>
      </c>
      <c r="B719" s="0" t="s">
        <v>36</v>
      </c>
      <c r="C719" s="2" t="s">
        <v>835</v>
      </c>
      <c r="D719" s="2" t="s">
        <v>229</v>
      </c>
      <c r="E719" s="3" t="s">
        <v>22</v>
      </c>
      <c r="F719" s="3" t="s">
        <v>29</v>
      </c>
      <c r="G719" s="0" t="n">
        <v>467</v>
      </c>
      <c r="H719" s="4" t="n">
        <v>19.17</v>
      </c>
      <c r="I719" s="4" t="n">
        <v>17.11</v>
      </c>
      <c r="J719" s="0" t="n">
        <v>49</v>
      </c>
      <c r="K719" s="3" t="s">
        <v>24</v>
      </c>
      <c r="L719" s="3" t="n">
        <f aca="false">IF(D719="","",IF(D719-C719&lt;0,"",D719-C719))</f>
        <v>9</v>
      </c>
      <c r="M719" s="4" t="n">
        <f aca="false">G719*I719</f>
        <v>7990.37</v>
      </c>
      <c r="N719" s="5" t="n">
        <f aca="false">IF(J719="","",J719/G719*100)</f>
        <v>10.4925053533191</v>
      </c>
      <c r="O719" s="5" t="n">
        <f aca="false">(H719-I719)/H719*100</f>
        <v>10.7459572248305</v>
      </c>
      <c r="P719" s="3" t="n">
        <f aca="false">IF(OR(F719="Delivered",F719="Partially Delivered"),1,0)</f>
        <v>1</v>
      </c>
      <c r="Q719" s="3" t="n">
        <f aca="false">IF(F719="Cancelled",1,0)</f>
        <v>0</v>
      </c>
      <c r="R719" s="3" t="n">
        <f aca="false">IF(K719="Yes",1,0)</f>
        <v>1</v>
      </c>
    </row>
    <row r="720" customFormat="false" ht="15" hidden="false" customHeight="false" outlineLevel="0" collapsed="false">
      <c r="A720" s="0" t="s">
        <v>1368</v>
      </c>
      <c r="B720" s="0" t="s">
        <v>26</v>
      </c>
      <c r="C720" s="2" t="s">
        <v>272</v>
      </c>
      <c r="D720" s="2" t="s">
        <v>544</v>
      </c>
      <c r="E720" s="3" t="s">
        <v>34</v>
      </c>
      <c r="F720" s="3" t="s">
        <v>62</v>
      </c>
      <c r="G720" s="0" t="n">
        <v>164</v>
      </c>
      <c r="H720" s="4" t="n">
        <v>48.16</v>
      </c>
      <c r="I720" s="4" t="n">
        <v>47.46</v>
      </c>
      <c r="J720" s="0" t="n">
        <v>27</v>
      </c>
      <c r="K720" s="3" t="s">
        <v>24</v>
      </c>
      <c r="L720" s="3" t="n">
        <f aca="false">IF(D720="","",IF(D720-C720&lt;0,"",D720-C720))</f>
        <v>19</v>
      </c>
      <c r="M720" s="4" t="n">
        <f aca="false">G720*I720</f>
        <v>7783.44</v>
      </c>
      <c r="N720" s="5" t="n">
        <f aca="false">IF(J720="","",J720/G720*100)</f>
        <v>16.4634146341463</v>
      </c>
      <c r="O720" s="5" t="n">
        <f aca="false">(H720-I720)/H720*100</f>
        <v>1.45348837209301</v>
      </c>
      <c r="P720" s="3" t="n">
        <f aca="false">IF(OR(F720="Delivered",F720="Partially Delivered"),1,0)</f>
        <v>0</v>
      </c>
      <c r="Q720" s="3" t="n">
        <f aca="false">IF(F720="Cancelled",1,0)</f>
        <v>0</v>
      </c>
      <c r="R720" s="3" t="n">
        <f aca="false">IF(K720="Yes",1,0)</f>
        <v>1</v>
      </c>
    </row>
    <row r="721" customFormat="false" ht="15" hidden="false" customHeight="false" outlineLevel="0" collapsed="false">
      <c r="A721" s="0" t="s">
        <v>1369</v>
      </c>
      <c r="B721" s="0" t="s">
        <v>46</v>
      </c>
      <c r="C721" s="2" t="s">
        <v>704</v>
      </c>
      <c r="D721" s="2" t="s">
        <v>727</v>
      </c>
      <c r="E721" s="3" t="s">
        <v>71</v>
      </c>
      <c r="F721" s="3" t="s">
        <v>23</v>
      </c>
      <c r="G721" s="0" t="n">
        <v>666</v>
      </c>
      <c r="H721" s="4" t="n">
        <v>43.76</v>
      </c>
      <c r="I721" s="4" t="n">
        <v>41.13</v>
      </c>
      <c r="J721" s="0" t="n">
        <v>18</v>
      </c>
      <c r="K721" s="3" t="s">
        <v>24</v>
      </c>
      <c r="L721" s="3" t="n">
        <f aca="false">IF(D721="","",IF(D721-C721&lt;0,"",D721-C721))</f>
        <v>13</v>
      </c>
      <c r="M721" s="4" t="n">
        <f aca="false">G721*I721</f>
        <v>27392.58</v>
      </c>
      <c r="N721" s="5" t="n">
        <f aca="false">IF(J721="","",J721/G721*100)</f>
        <v>2.7027027027027</v>
      </c>
      <c r="O721" s="5" t="n">
        <f aca="false">(H721-I721)/H721*100</f>
        <v>6.01005484460694</v>
      </c>
      <c r="P721" s="3" t="n">
        <f aca="false">IF(OR(F721="Delivered",F721="Partially Delivered"),1,0)</f>
        <v>0</v>
      </c>
      <c r="Q721" s="3" t="n">
        <f aca="false">IF(F721="Cancelled",1,0)</f>
        <v>1</v>
      </c>
      <c r="R721" s="3" t="n">
        <f aca="false">IF(K721="Yes",1,0)</f>
        <v>1</v>
      </c>
    </row>
    <row r="722" customFormat="false" ht="15" hidden="false" customHeight="false" outlineLevel="0" collapsed="false">
      <c r="A722" s="0" t="s">
        <v>1370</v>
      </c>
      <c r="B722" s="0" t="s">
        <v>26</v>
      </c>
      <c r="C722" s="2" t="s">
        <v>632</v>
      </c>
      <c r="D722" s="2" t="s">
        <v>857</v>
      </c>
      <c r="E722" s="3" t="s">
        <v>39</v>
      </c>
      <c r="F722" s="3" t="s">
        <v>58</v>
      </c>
      <c r="G722" s="0" t="n">
        <v>1976</v>
      </c>
      <c r="H722" s="4" t="n">
        <v>34.71</v>
      </c>
      <c r="I722" s="4" t="n">
        <v>31.56</v>
      </c>
      <c r="J722" s="0" t="n">
        <v>286</v>
      </c>
      <c r="K722" s="3" t="s">
        <v>44</v>
      </c>
      <c r="L722" s="3" t="n">
        <f aca="false">IF(D722="","",IF(D722-C722&lt;0,"",D722-C722))</f>
        <v>13</v>
      </c>
      <c r="M722" s="4" t="n">
        <f aca="false">G722*I722</f>
        <v>62362.56</v>
      </c>
      <c r="N722" s="5" t="n">
        <f aca="false">IF(J722="","",J722/G722*100)</f>
        <v>14.4736842105263</v>
      </c>
      <c r="O722" s="5" t="n">
        <f aca="false">(H722-I722)/H722*100</f>
        <v>9.0751944684529</v>
      </c>
      <c r="P722" s="3" t="n">
        <f aca="false">IF(OR(F722="Delivered",F722="Partially Delivered"),1,0)</f>
        <v>1</v>
      </c>
      <c r="Q722" s="3" t="n">
        <f aca="false">IF(F722="Cancelled",1,0)</f>
        <v>0</v>
      </c>
      <c r="R722" s="3" t="n">
        <f aca="false">IF(K722="Yes",1,0)</f>
        <v>0</v>
      </c>
    </row>
    <row r="723" customFormat="false" ht="15" hidden="false" customHeight="false" outlineLevel="0" collapsed="false">
      <c r="A723" s="0" t="s">
        <v>1371</v>
      </c>
      <c r="B723" s="0" t="s">
        <v>46</v>
      </c>
      <c r="C723" s="2" t="s">
        <v>277</v>
      </c>
      <c r="D723" s="2" t="s">
        <v>1212</v>
      </c>
      <c r="E723" s="3" t="s">
        <v>34</v>
      </c>
      <c r="F723" s="3" t="s">
        <v>29</v>
      </c>
      <c r="G723" s="0" t="n">
        <v>1269</v>
      </c>
      <c r="H723" s="4" t="n">
        <v>79.61</v>
      </c>
      <c r="I723" s="4" t="n">
        <v>71.86</v>
      </c>
      <c r="J723" s="0" t="n">
        <v>47</v>
      </c>
      <c r="K723" s="3" t="s">
        <v>24</v>
      </c>
      <c r="L723" s="3" t="n">
        <f aca="false">IF(D723="","",IF(D723-C723&lt;0,"",D723-C723))</f>
        <v>5</v>
      </c>
      <c r="M723" s="4" t="n">
        <f aca="false">G723*I723</f>
        <v>91190.34</v>
      </c>
      <c r="N723" s="5" t="n">
        <f aca="false">IF(J723="","",J723/G723*100)</f>
        <v>3.7037037037037</v>
      </c>
      <c r="O723" s="5" t="n">
        <f aca="false">(H723-I723)/H723*100</f>
        <v>9.73495791985932</v>
      </c>
      <c r="P723" s="3" t="n">
        <f aca="false">IF(OR(F723="Delivered",F723="Partially Delivered"),1,0)</f>
        <v>1</v>
      </c>
      <c r="Q723" s="3" t="n">
        <f aca="false">IF(F723="Cancelled",1,0)</f>
        <v>0</v>
      </c>
      <c r="R723" s="3" t="n">
        <f aca="false">IF(K723="Yes",1,0)</f>
        <v>1</v>
      </c>
    </row>
    <row r="724" customFormat="false" ht="15" hidden="false" customHeight="false" outlineLevel="0" collapsed="false">
      <c r="A724" s="0" t="s">
        <v>1372</v>
      </c>
      <c r="B724" s="0" t="s">
        <v>46</v>
      </c>
      <c r="C724" s="2" t="s">
        <v>1373</v>
      </c>
      <c r="D724" s="2" t="s">
        <v>1111</v>
      </c>
      <c r="E724" s="3" t="s">
        <v>34</v>
      </c>
      <c r="F724" s="3" t="s">
        <v>29</v>
      </c>
      <c r="G724" s="0" t="n">
        <v>875</v>
      </c>
      <c r="H724" s="4" t="n">
        <v>57.63</v>
      </c>
      <c r="I724" s="4" t="n">
        <v>51.8</v>
      </c>
      <c r="J724" s="0" t="n">
        <v>16</v>
      </c>
      <c r="K724" s="3" t="s">
        <v>24</v>
      </c>
      <c r="L724" s="3" t="n">
        <f aca="false">IF(D724="","",IF(D724-C724&lt;0,"",D724-C724))</f>
        <v>10</v>
      </c>
      <c r="M724" s="4" t="n">
        <f aca="false">G724*I724</f>
        <v>45325</v>
      </c>
      <c r="N724" s="5" t="n">
        <f aca="false">IF(J724="","",J724/G724*100)</f>
        <v>1.82857142857143</v>
      </c>
      <c r="O724" s="5" t="n">
        <f aca="false">(H724-I724)/H724*100</f>
        <v>10.1162588929377</v>
      </c>
      <c r="P724" s="3" t="n">
        <f aca="false">IF(OR(F724="Delivered",F724="Partially Delivered"),1,0)</f>
        <v>1</v>
      </c>
      <c r="Q724" s="3" t="n">
        <f aca="false">IF(F724="Cancelled",1,0)</f>
        <v>0</v>
      </c>
      <c r="R724" s="3" t="n">
        <f aca="false">IF(K724="Yes",1,0)</f>
        <v>1</v>
      </c>
    </row>
    <row r="725" customFormat="false" ht="15" hidden="false" customHeight="false" outlineLevel="0" collapsed="false">
      <c r="A725" s="0" t="s">
        <v>1374</v>
      </c>
      <c r="B725" s="0" t="s">
        <v>19</v>
      </c>
      <c r="C725" s="2" t="s">
        <v>313</v>
      </c>
      <c r="D725" s="2"/>
      <c r="E725" s="3" t="s">
        <v>39</v>
      </c>
      <c r="F725" s="3" t="s">
        <v>58</v>
      </c>
      <c r="G725" s="0" t="n">
        <v>1574</v>
      </c>
      <c r="H725" s="4" t="n">
        <v>17.9</v>
      </c>
      <c r="I725" s="4" t="n">
        <v>15.85</v>
      </c>
      <c r="J725" s="0" t="n">
        <v>31</v>
      </c>
      <c r="K725" s="3" t="s">
        <v>24</v>
      </c>
      <c r="L725" s="0" t="str">
        <f aca="false">IF(D725="","",IF(D725-C725&lt;0,"",D725-C725))</f>
        <v/>
      </c>
      <c r="M725" s="4" t="n">
        <f aca="false">G725*I725</f>
        <v>24947.9</v>
      </c>
      <c r="N725" s="5" t="n">
        <f aca="false">IF(J725="","",J725/G725*100)</f>
        <v>1.96950444726811</v>
      </c>
      <c r="O725" s="5" t="n">
        <f aca="false">(H725-I725)/H725*100</f>
        <v>11.4525139664804</v>
      </c>
      <c r="P725" s="3" t="n">
        <f aca="false">IF(OR(F725="Delivered",F725="Partially Delivered"),1,0)</f>
        <v>1</v>
      </c>
      <c r="Q725" s="3" t="n">
        <f aca="false">IF(F725="Cancelled",1,0)</f>
        <v>0</v>
      </c>
      <c r="R725" s="3" t="n">
        <f aca="false">IF(K725="Yes",1,0)</f>
        <v>1</v>
      </c>
    </row>
    <row r="726" customFormat="false" ht="15" hidden="false" customHeight="false" outlineLevel="0" collapsed="false">
      <c r="A726" s="0" t="s">
        <v>1375</v>
      </c>
      <c r="B726" s="0" t="s">
        <v>46</v>
      </c>
      <c r="C726" s="2" t="s">
        <v>737</v>
      </c>
      <c r="D726" s="2" t="s">
        <v>275</v>
      </c>
      <c r="E726" s="3" t="s">
        <v>22</v>
      </c>
      <c r="F726" s="3" t="s">
        <v>58</v>
      </c>
      <c r="G726" s="0" t="n">
        <v>1699</v>
      </c>
      <c r="H726" s="4" t="n">
        <v>32.05</v>
      </c>
      <c r="I726" s="4" t="n">
        <v>29.34</v>
      </c>
      <c r="J726" s="0" t="n">
        <v>69</v>
      </c>
      <c r="K726" s="3" t="s">
        <v>24</v>
      </c>
      <c r="L726" s="3" t="n">
        <f aca="false">IF(D726="","",IF(D726-C726&lt;0,"",D726-C726))</f>
        <v>15</v>
      </c>
      <c r="M726" s="4" t="n">
        <f aca="false">G726*I726</f>
        <v>49848.66</v>
      </c>
      <c r="N726" s="5" t="n">
        <f aca="false">IF(J726="","",J726/G726*100)</f>
        <v>4.06121247792819</v>
      </c>
      <c r="O726" s="5" t="n">
        <f aca="false">(H726-I726)/H726*100</f>
        <v>8.45553822152885</v>
      </c>
      <c r="P726" s="3" t="n">
        <f aca="false">IF(OR(F726="Delivered",F726="Partially Delivered"),1,0)</f>
        <v>1</v>
      </c>
      <c r="Q726" s="3" t="n">
        <f aca="false">IF(F726="Cancelled",1,0)</f>
        <v>0</v>
      </c>
      <c r="R726" s="3" t="n">
        <f aca="false">IF(K726="Yes",1,0)</f>
        <v>1</v>
      </c>
    </row>
    <row r="727" customFormat="false" ht="15" hidden="false" customHeight="false" outlineLevel="0" collapsed="false">
      <c r="A727" s="0" t="s">
        <v>1376</v>
      </c>
      <c r="B727" s="0" t="s">
        <v>19</v>
      </c>
      <c r="C727" s="2" t="s">
        <v>1125</v>
      </c>
      <c r="D727" s="2" t="s">
        <v>1309</v>
      </c>
      <c r="E727" s="3" t="s">
        <v>71</v>
      </c>
      <c r="F727" s="3" t="s">
        <v>29</v>
      </c>
      <c r="G727" s="0" t="n">
        <v>1566</v>
      </c>
      <c r="H727" s="4" t="n">
        <v>75.43</v>
      </c>
      <c r="I727" s="4" t="n">
        <v>71.27</v>
      </c>
      <c r="J727" s="0" t="n">
        <v>27</v>
      </c>
      <c r="K727" s="3" t="s">
        <v>24</v>
      </c>
      <c r="L727" s="3" t="n">
        <f aca="false">IF(D727="","",IF(D727-C727&lt;0,"",D727-C727))</f>
        <v>16</v>
      </c>
      <c r="M727" s="4" t="n">
        <f aca="false">G727*I727</f>
        <v>111608.82</v>
      </c>
      <c r="N727" s="5" t="n">
        <f aca="false">IF(J727="","",J727/G727*100)</f>
        <v>1.72413793103448</v>
      </c>
      <c r="O727" s="5" t="n">
        <f aca="false">(H727-I727)/H727*100</f>
        <v>5.5150470635026</v>
      </c>
      <c r="P727" s="3" t="n">
        <f aca="false">IF(OR(F727="Delivered",F727="Partially Delivered"),1,0)</f>
        <v>1</v>
      </c>
      <c r="Q727" s="3" t="n">
        <f aca="false">IF(F727="Cancelled",1,0)</f>
        <v>0</v>
      </c>
      <c r="R727" s="3" t="n">
        <f aca="false">IF(K727="Yes",1,0)</f>
        <v>1</v>
      </c>
    </row>
    <row r="728" customFormat="false" ht="15" hidden="false" customHeight="false" outlineLevel="0" collapsed="false">
      <c r="A728" s="0" t="s">
        <v>1377</v>
      </c>
      <c r="B728" s="0" t="s">
        <v>31</v>
      </c>
      <c r="C728" s="2" t="s">
        <v>1111</v>
      </c>
      <c r="D728" s="2" t="s">
        <v>241</v>
      </c>
      <c r="E728" s="3" t="s">
        <v>71</v>
      </c>
      <c r="F728" s="3" t="s">
        <v>29</v>
      </c>
      <c r="G728" s="0" t="n">
        <v>1148</v>
      </c>
      <c r="H728" s="4" t="n">
        <v>17.78</v>
      </c>
      <c r="I728" s="4" t="n">
        <v>17.16</v>
      </c>
      <c r="J728" s="0" t="n">
        <v>61</v>
      </c>
      <c r="K728" s="3" t="s">
        <v>24</v>
      </c>
      <c r="L728" s="3" t="n">
        <f aca="false">IF(D728="","",IF(D728-C728&lt;0,"",D728-C728))</f>
        <v>18</v>
      </c>
      <c r="M728" s="4" t="n">
        <f aca="false">G728*I728</f>
        <v>19699.68</v>
      </c>
      <c r="N728" s="5" t="n">
        <f aca="false">IF(J728="","",J728/G728*100)</f>
        <v>5.31358885017422</v>
      </c>
      <c r="O728" s="5" t="n">
        <f aca="false">(H728-I728)/H728*100</f>
        <v>3.48706411698538</v>
      </c>
      <c r="P728" s="3" t="n">
        <f aca="false">IF(OR(F728="Delivered",F728="Partially Delivered"),1,0)</f>
        <v>1</v>
      </c>
      <c r="Q728" s="3" t="n">
        <f aca="false">IF(F728="Cancelled",1,0)</f>
        <v>0</v>
      </c>
      <c r="R728" s="3" t="n">
        <f aca="false">IF(K728="Yes",1,0)</f>
        <v>1</v>
      </c>
    </row>
    <row r="729" customFormat="false" ht="15" hidden="false" customHeight="false" outlineLevel="0" collapsed="false">
      <c r="A729" s="0" t="s">
        <v>1378</v>
      </c>
      <c r="B729" s="0" t="s">
        <v>46</v>
      </c>
      <c r="C729" s="2" t="s">
        <v>277</v>
      </c>
      <c r="D729" s="2" t="s">
        <v>278</v>
      </c>
      <c r="E729" s="3" t="s">
        <v>22</v>
      </c>
      <c r="F729" s="3" t="s">
        <v>29</v>
      </c>
      <c r="G729" s="0" t="n">
        <v>462</v>
      </c>
      <c r="H729" s="4" t="n">
        <v>91.81</v>
      </c>
      <c r="I729" s="4" t="n">
        <v>83.14</v>
      </c>
      <c r="J729" s="0" t="n">
        <v>11</v>
      </c>
      <c r="K729" s="3" t="s">
        <v>24</v>
      </c>
      <c r="L729" s="3" t="n">
        <f aca="false">IF(D729="","",IF(D729-C729&lt;0,"",D729-C729))</f>
        <v>18</v>
      </c>
      <c r="M729" s="4" t="n">
        <f aca="false">G729*I729</f>
        <v>38410.68</v>
      </c>
      <c r="N729" s="5" t="n">
        <f aca="false">IF(J729="","",J729/G729*100)</f>
        <v>2.38095238095238</v>
      </c>
      <c r="O729" s="5" t="n">
        <f aca="false">(H729-I729)/H729*100</f>
        <v>9.44341574991831</v>
      </c>
      <c r="P729" s="3" t="n">
        <f aca="false">IF(OR(F729="Delivered",F729="Partially Delivered"),1,0)</f>
        <v>1</v>
      </c>
      <c r="Q729" s="3" t="n">
        <f aca="false">IF(F729="Cancelled",1,0)</f>
        <v>0</v>
      </c>
      <c r="R729" s="3" t="n">
        <f aca="false">IF(K729="Yes",1,0)</f>
        <v>1</v>
      </c>
    </row>
    <row r="730" customFormat="false" ht="15" hidden="false" customHeight="false" outlineLevel="0" collapsed="false">
      <c r="A730" s="0" t="s">
        <v>1379</v>
      </c>
      <c r="B730" s="0" t="s">
        <v>31</v>
      </c>
      <c r="C730" s="2" t="s">
        <v>120</v>
      </c>
      <c r="D730" s="2" t="s">
        <v>1049</v>
      </c>
      <c r="E730" s="3" t="s">
        <v>39</v>
      </c>
      <c r="F730" s="3" t="s">
        <v>29</v>
      </c>
      <c r="G730" s="0" t="n">
        <v>1449</v>
      </c>
      <c r="H730" s="4" t="n">
        <v>57.02</v>
      </c>
      <c r="I730" s="4" t="n">
        <v>49.28</v>
      </c>
      <c r="J730" s="0" t="n">
        <v>71</v>
      </c>
      <c r="K730" s="3" t="s">
        <v>24</v>
      </c>
      <c r="L730" s="3" t="n">
        <f aca="false">IF(D730="","",IF(D730-C730&lt;0,"",D730-C730))</f>
        <v>5</v>
      </c>
      <c r="M730" s="4" t="n">
        <f aca="false">G730*I730</f>
        <v>71406.72</v>
      </c>
      <c r="N730" s="5" t="n">
        <f aca="false">IF(J730="","",J730/G730*100)</f>
        <v>4.89993098688751</v>
      </c>
      <c r="O730" s="5" t="n">
        <f aca="false">(H730-I730)/H730*100</f>
        <v>13.5741844966678</v>
      </c>
      <c r="P730" s="3" t="n">
        <f aca="false">IF(OR(F730="Delivered",F730="Partially Delivered"),1,0)</f>
        <v>1</v>
      </c>
      <c r="Q730" s="3" t="n">
        <f aca="false">IF(F730="Cancelled",1,0)</f>
        <v>0</v>
      </c>
      <c r="R730" s="3" t="n">
        <f aca="false">IF(K730="Yes",1,0)</f>
        <v>1</v>
      </c>
    </row>
    <row r="731" customFormat="false" ht="15" hidden="false" customHeight="false" outlineLevel="0" collapsed="false">
      <c r="A731" s="0" t="s">
        <v>1380</v>
      </c>
      <c r="B731" s="0" t="s">
        <v>46</v>
      </c>
      <c r="C731" s="2" t="s">
        <v>1123</v>
      </c>
      <c r="D731" s="2" t="s">
        <v>1282</v>
      </c>
      <c r="E731" s="3" t="s">
        <v>34</v>
      </c>
      <c r="F731" s="3" t="s">
        <v>29</v>
      </c>
      <c r="G731" s="0" t="n">
        <v>1493</v>
      </c>
      <c r="H731" s="4" t="n">
        <v>56.98</v>
      </c>
      <c r="I731" s="4" t="n">
        <v>52.51</v>
      </c>
      <c r="J731" s="0" t="n">
        <v>43</v>
      </c>
      <c r="K731" s="3" t="s">
        <v>24</v>
      </c>
      <c r="L731" s="3" t="n">
        <f aca="false">IF(D731="","",IF(D731-C731&lt;0,"",D731-C731))</f>
        <v>19</v>
      </c>
      <c r="M731" s="4" t="n">
        <f aca="false">G731*I731</f>
        <v>78397.43</v>
      </c>
      <c r="N731" s="5" t="n">
        <f aca="false">IF(J731="","",J731/G731*100)</f>
        <v>2.8801071667783</v>
      </c>
      <c r="O731" s="5" t="n">
        <f aca="false">(H731-I731)/H731*100</f>
        <v>7.84485784485784</v>
      </c>
      <c r="P731" s="3" t="n">
        <f aca="false">IF(OR(F731="Delivered",F731="Partially Delivered"),1,0)</f>
        <v>1</v>
      </c>
      <c r="Q731" s="3" t="n">
        <f aca="false">IF(F731="Cancelled",1,0)</f>
        <v>0</v>
      </c>
      <c r="R731" s="3" t="n">
        <f aca="false">IF(K731="Yes",1,0)</f>
        <v>1</v>
      </c>
    </row>
    <row r="732" customFormat="false" ht="15" hidden="false" customHeight="false" outlineLevel="0" collapsed="false">
      <c r="A732" s="0" t="s">
        <v>1381</v>
      </c>
      <c r="B732" s="0" t="s">
        <v>19</v>
      </c>
      <c r="C732" s="2" t="s">
        <v>1382</v>
      </c>
      <c r="D732" s="2" t="s">
        <v>927</v>
      </c>
      <c r="E732" s="3" t="s">
        <v>22</v>
      </c>
      <c r="F732" s="3" t="s">
        <v>29</v>
      </c>
      <c r="G732" s="0" t="n">
        <v>778</v>
      </c>
      <c r="H732" s="4" t="n">
        <v>65.85</v>
      </c>
      <c r="I732" s="4" t="n">
        <v>62.08</v>
      </c>
      <c r="K732" s="3" t="s">
        <v>44</v>
      </c>
      <c r="L732" s="3" t="n">
        <f aca="false">IF(D732="","",IF(D732-C732&lt;0,"",D732-C732))</f>
        <v>2</v>
      </c>
      <c r="M732" s="4" t="n">
        <f aca="false">G732*I732</f>
        <v>48298.24</v>
      </c>
      <c r="N732" s="5" t="str">
        <f aca="false">IF(J732="","",J732/G732*100)</f>
        <v/>
      </c>
      <c r="O732" s="5" t="n">
        <f aca="false">(H732-I732)/H732*100</f>
        <v>5.72513287775246</v>
      </c>
      <c r="P732" s="3" t="n">
        <f aca="false">IF(OR(F732="Delivered",F732="Partially Delivered"),1,0)</f>
        <v>1</v>
      </c>
      <c r="Q732" s="3" t="n">
        <f aca="false">IF(F732="Cancelled",1,0)</f>
        <v>0</v>
      </c>
      <c r="R732" s="3" t="n">
        <f aca="false">IF(K732="Yes",1,0)</f>
        <v>0</v>
      </c>
    </row>
    <row r="733" customFormat="false" ht="15" hidden="false" customHeight="false" outlineLevel="0" collapsed="false">
      <c r="A733" s="0" t="s">
        <v>1383</v>
      </c>
      <c r="B733" s="0" t="s">
        <v>26</v>
      </c>
      <c r="C733" s="2" t="s">
        <v>807</v>
      </c>
      <c r="D733" s="2" t="s">
        <v>219</v>
      </c>
      <c r="E733" s="3" t="s">
        <v>39</v>
      </c>
      <c r="F733" s="3" t="s">
        <v>58</v>
      </c>
      <c r="G733" s="0" t="n">
        <v>1350</v>
      </c>
      <c r="H733" s="4" t="n">
        <v>85.06</v>
      </c>
      <c r="I733" s="4" t="n">
        <v>82.34</v>
      </c>
      <c r="K733" s="3" t="s">
        <v>44</v>
      </c>
      <c r="L733" s="3" t="n">
        <f aca="false">IF(D733="","",IF(D733-C733&lt;0,"",D733-C733))</f>
        <v>17</v>
      </c>
      <c r="M733" s="4" t="n">
        <f aca="false">G733*I733</f>
        <v>111159</v>
      </c>
      <c r="N733" s="5" t="str">
        <f aca="false">IF(J733="","",J733/G733*100)</f>
        <v/>
      </c>
      <c r="O733" s="5" t="n">
        <f aca="false">(H733-I733)/H733*100</f>
        <v>3.19774276980954</v>
      </c>
      <c r="P733" s="3" t="n">
        <f aca="false">IF(OR(F733="Delivered",F733="Partially Delivered"),1,0)</f>
        <v>1</v>
      </c>
      <c r="Q733" s="3" t="n">
        <f aca="false">IF(F733="Cancelled",1,0)</f>
        <v>0</v>
      </c>
      <c r="R733" s="3" t="n">
        <f aca="false">IF(K733="Yes",1,0)</f>
        <v>0</v>
      </c>
    </row>
    <row r="734" customFormat="false" ht="15" hidden="false" customHeight="false" outlineLevel="0" collapsed="false">
      <c r="A734" s="0" t="s">
        <v>1384</v>
      </c>
      <c r="B734" s="0" t="s">
        <v>46</v>
      </c>
      <c r="C734" s="2" t="s">
        <v>229</v>
      </c>
      <c r="D734" s="2" t="s">
        <v>1244</v>
      </c>
      <c r="E734" s="3" t="s">
        <v>39</v>
      </c>
      <c r="F734" s="3" t="s">
        <v>29</v>
      </c>
      <c r="G734" s="0" t="n">
        <v>1070</v>
      </c>
      <c r="H734" s="4" t="n">
        <v>44.4</v>
      </c>
      <c r="I734" s="4" t="n">
        <v>40.07</v>
      </c>
      <c r="J734" s="0" t="n">
        <v>26</v>
      </c>
      <c r="K734" s="3" t="s">
        <v>24</v>
      </c>
      <c r="L734" s="3" t="n">
        <f aca="false">IF(D734="","",IF(D734-C734&lt;0,"",D734-C734))</f>
        <v>8</v>
      </c>
      <c r="M734" s="4" t="n">
        <f aca="false">G734*I734</f>
        <v>42874.9</v>
      </c>
      <c r="N734" s="5" t="n">
        <f aca="false">IF(J734="","",J734/G734*100)</f>
        <v>2.42990654205607</v>
      </c>
      <c r="O734" s="5" t="n">
        <f aca="false">(H734-I734)/H734*100</f>
        <v>9.75225225225225</v>
      </c>
      <c r="P734" s="3" t="n">
        <f aca="false">IF(OR(F734="Delivered",F734="Partially Delivered"),1,0)</f>
        <v>1</v>
      </c>
      <c r="Q734" s="3" t="n">
        <f aca="false">IF(F734="Cancelled",1,0)</f>
        <v>0</v>
      </c>
      <c r="R734" s="3" t="n">
        <f aca="false">IF(K734="Yes",1,0)</f>
        <v>1</v>
      </c>
    </row>
    <row r="735" customFormat="false" ht="15" hidden="false" customHeight="false" outlineLevel="0" collapsed="false">
      <c r="A735" s="0" t="s">
        <v>1385</v>
      </c>
      <c r="B735" s="0" t="s">
        <v>36</v>
      </c>
      <c r="C735" s="2" t="s">
        <v>489</v>
      </c>
      <c r="D735" s="2" t="s">
        <v>1002</v>
      </c>
      <c r="E735" s="3" t="s">
        <v>39</v>
      </c>
      <c r="F735" s="3" t="s">
        <v>62</v>
      </c>
      <c r="G735" s="0" t="n">
        <v>810</v>
      </c>
      <c r="H735" s="4" t="n">
        <v>71.02</v>
      </c>
      <c r="I735" s="4" t="n">
        <v>66.8</v>
      </c>
      <c r="J735" s="0" t="n">
        <v>73</v>
      </c>
      <c r="K735" s="3" t="s">
        <v>24</v>
      </c>
      <c r="L735" s="3" t="n">
        <f aca="false">IF(D735="","",IF(D735-C735&lt;0,"",D735-C735))</f>
        <v>14</v>
      </c>
      <c r="M735" s="4" t="n">
        <f aca="false">G735*I735</f>
        <v>54108</v>
      </c>
      <c r="N735" s="5" t="n">
        <f aca="false">IF(J735="","",J735/G735*100)</f>
        <v>9.01234567901235</v>
      </c>
      <c r="O735" s="5" t="n">
        <f aca="false">(H735-I735)/H735*100</f>
        <v>5.94198817234582</v>
      </c>
      <c r="P735" s="3" t="n">
        <f aca="false">IF(OR(F735="Delivered",F735="Partially Delivered"),1,0)</f>
        <v>0</v>
      </c>
      <c r="Q735" s="3" t="n">
        <f aca="false">IF(F735="Cancelled",1,0)</f>
        <v>0</v>
      </c>
      <c r="R735" s="3" t="n">
        <f aca="false">IF(K735="Yes",1,0)</f>
        <v>1</v>
      </c>
    </row>
    <row r="736" customFormat="false" ht="15" hidden="false" customHeight="false" outlineLevel="0" collapsed="false">
      <c r="A736" s="0" t="s">
        <v>1386</v>
      </c>
      <c r="B736" s="0" t="s">
        <v>26</v>
      </c>
      <c r="C736" s="2" t="s">
        <v>472</v>
      </c>
      <c r="D736" s="2" t="s">
        <v>1387</v>
      </c>
      <c r="E736" s="3" t="s">
        <v>39</v>
      </c>
      <c r="F736" s="3" t="s">
        <v>23</v>
      </c>
      <c r="G736" s="0" t="n">
        <v>725</v>
      </c>
      <c r="H736" s="4" t="n">
        <v>66.4</v>
      </c>
      <c r="I736" s="4" t="n">
        <v>62.1</v>
      </c>
      <c r="J736" s="0" t="n">
        <v>118</v>
      </c>
      <c r="K736" s="3" t="s">
        <v>24</v>
      </c>
      <c r="L736" s="3" t="n">
        <f aca="false">IF(D736="","",IF(D736-C736&lt;0,"",D736-C736))</f>
        <v>16</v>
      </c>
      <c r="M736" s="4" t="n">
        <f aca="false">G736*I736</f>
        <v>45022.5</v>
      </c>
      <c r="N736" s="5" t="n">
        <f aca="false">IF(J736="","",J736/G736*100)</f>
        <v>16.2758620689655</v>
      </c>
      <c r="O736" s="5" t="n">
        <f aca="false">(H736-I736)/H736*100</f>
        <v>6.47590361445784</v>
      </c>
      <c r="P736" s="3" t="n">
        <f aca="false">IF(OR(F736="Delivered",F736="Partially Delivered"),1,0)</f>
        <v>0</v>
      </c>
      <c r="Q736" s="3" t="n">
        <f aca="false">IF(F736="Cancelled",1,0)</f>
        <v>1</v>
      </c>
      <c r="R736" s="3" t="n">
        <f aca="false">IF(K736="Yes",1,0)</f>
        <v>1</v>
      </c>
    </row>
    <row r="737" customFormat="false" ht="15" hidden="false" customHeight="false" outlineLevel="0" collapsed="false">
      <c r="A737" s="0" t="s">
        <v>1388</v>
      </c>
      <c r="B737" s="0" t="s">
        <v>19</v>
      </c>
      <c r="C737" s="2" t="s">
        <v>1389</v>
      </c>
      <c r="D737" s="2" t="s">
        <v>374</v>
      </c>
      <c r="E737" s="3" t="s">
        <v>71</v>
      </c>
      <c r="F737" s="3" t="s">
        <v>29</v>
      </c>
      <c r="G737" s="0" t="n">
        <v>1467</v>
      </c>
      <c r="H737" s="4" t="n">
        <v>34.2</v>
      </c>
      <c r="I737" s="4" t="n">
        <v>30.5</v>
      </c>
      <c r="J737" s="0" t="n">
        <v>25</v>
      </c>
      <c r="K737" s="3" t="s">
        <v>24</v>
      </c>
      <c r="L737" s="3" t="n">
        <f aca="false">IF(D737="","",IF(D737-C737&lt;0,"",D737-C737))</f>
        <v>5</v>
      </c>
      <c r="M737" s="4" t="n">
        <f aca="false">G737*I737</f>
        <v>44743.5</v>
      </c>
      <c r="N737" s="5" t="n">
        <f aca="false">IF(J737="","",J737/G737*100)</f>
        <v>1.70415814587594</v>
      </c>
      <c r="O737" s="5" t="n">
        <f aca="false">(H737-I737)/H737*100</f>
        <v>10.8187134502924</v>
      </c>
      <c r="P737" s="3" t="n">
        <f aca="false">IF(OR(F737="Delivered",F737="Partially Delivered"),1,0)</f>
        <v>1</v>
      </c>
      <c r="Q737" s="3" t="n">
        <f aca="false">IF(F737="Cancelled",1,0)</f>
        <v>0</v>
      </c>
      <c r="R737" s="3" t="n">
        <f aca="false">IF(K737="Yes",1,0)</f>
        <v>1</v>
      </c>
    </row>
    <row r="738" customFormat="false" ht="15" hidden="false" customHeight="false" outlineLevel="0" collapsed="false">
      <c r="A738" s="0" t="s">
        <v>1390</v>
      </c>
      <c r="B738" s="0" t="s">
        <v>36</v>
      </c>
      <c r="C738" s="2" t="s">
        <v>1031</v>
      </c>
      <c r="D738" s="2" t="s">
        <v>1391</v>
      </c>
      <c r="E738" s="3" t="s">
        <v>39</v>
      </c>
      <c r="F738" s="3" t="s">
        <v>29</v>
      </c>
      <c r="G738" s="0" t="n">
        <v>1942</v>
      </c>
      <c r="H738" s="4" t="n">
        <v>93.98</v>
      </c>
      <c r="I738" s="4" t="n">
        <v>81.31</v>
      </c>
      <c r="J738" s="0" t="n">
        <v>198</v>
      </c>
      <c r="K738" s="3" t="s">
        <v>24</v>
      </c>
      <c r="L738" s="3" t="n">
        <f aca="false">IF(D738="","",IF(D738-C738&lt;0,"",D738-C738))</f>
        <v>18</v>
      </c>
      <c r="M738" s="4" t="n">
        <f aca="false">G738*I738</f>
        <v>157904.02</v>
      </c>
      <c r="N738" s="5" t="n">
        <f aca="false">IF(J738="","",J738/G738*100)</f>
        <v>10.1956745623069</v>
      </c>
      <c r="O738" s="5" t="n">
        <f aca="false">(H738-I738)/H738*100</f>
        <v>13.4815918280485</v>
      </c>
      <c r="P738" s="3" t="n">
        <f aca="false">IF(OR(F738="Delivered",F738="Partially Delivered"),1,0)</f>
        <v>1</v>
      </c>
      <c r="Q738" s="3" t="n">
        <f aca="false">IF(F738="Cancelled",1,0)</f>
        <v>0</v>
      </c>
      <c r="R738" s="3" t="n">
        <f aca="false">IF(K738="Yes",1,0)</f>
        <v>1</v>
      </c>
    </row>
    <row r="739" customFormat="false" ht="15" hidden="false" customHeight="false" outlineLevel="0" collapsed="false">
      <c r="A739" s="0" t="s">
        <v>1392</v>
      </c>
      <c r="B739" s="0" t="s">
        <v>31</v>
      </c>
      <c r="C739" s="2" t="s">
        <v>1393</v>
      </c>
      <c r="D739" s="2"/>
      <c r="E739" s="3" t="s">
        <v>22</v>
      </c>
      <c r="F739" s="3" t="s">
        <v>29</v>
      </c>
      <c r="G739" s="0" t="n">
        <v>506</v>
      </c>
      <c r="H739" s="4" t="n">
        <v>84.63</v>
      </c>
      <c r="I739" s="4" t="n">
        <v>72.69</v>
      </c>
      <c r="J739" s="0" t="n">
        <v>20</v>
      </c>
      <c r="K739" s="3" t="s">
        <v>24</v>
      </c>
      <c r="L739" s="0" t="str">
        <f aca="false">IF(D739="","",IF(D739-C739&lt;0,"",D739-C739))</f>
        <v/>
      </c>
      <c r="M739" s="4" t="n">
        <f aca="false">G739*I739</f>
        <v>36781.14</v>
      </c>
      <c r="N739" s="5" t="n">
        <f aca="false">IF(J739="","",J739/G739*100)</f>
        <v>3.95256916996047</v>
      </c>
      <c r="O739" s="5" t="n">
        <f aca="false">(H739-I739)/H739*100</f>
        <v>14.1084721729883</v>
      </c>
      <c r="P739" s="3" t="n">
        <f aca="false">IF(OR(F739="Delivered",F739="Partially Delivered"),1,0)</f>
        <v>1</v>
      </c>
      <c r="Q739" s="3" t="n">
        <f aca="false">IF(F739="Cancelled",1,0)</f>
        <v>0</v>
      </c>
      <c r="R739" s="3" t="n">
        <f aca="false">IF(K739="Yes",1,0)</f>
        <v>1</v>
      </c>
    </row>
    <row r="740" customFormat="false" ht="15" hidden="false" customHeight="false" outlineLevel="0" collapsed="false">
      <c r="A740" s="0" t="s">
        <v>1394</v>
      </c>
      <c r="B740" s="0" t="s">
        <v>19</v>
      </c>
      <c r="C740" s="2" t="s">
        <v>102</v>
      </c>
      <c r="D740" s="2" t="s">
        <v>667</v>
      </c>
      <c r="E740" s="3" t="s">
        <v>34</v>
      </c>
      <c r="F740" s="3" t="s">
        <v>29</v>
      </c>
      <c r="G740" s="0" t="n">
        <v>969</v>
      </c>
      <c r="H740" s="4" t="n">
        <v>76.53</v>
      </c>
      <c r="I740" s="4" t="n">
        <v>75.64</v>
      </c>
      <c r="J740" s="0" t="n">
        <v>30</v>
      </c>
      <c r="K740" s="3" t="s">
        <v>24</v>
      </c>
      <c r="L740" s="3" t="n">
        <f aca="false">IF(D740="","",IF(D740-C740&lt;0,"",D740-C740))</f>
        <v>16</v>
      </c>
      <c r="M740" s="4" t="n">
        <f aca="false">G740*I740</f>
        <v>73295.16</v>
      </c>
      <c r="N740" s="5" t="n">
        <f aca="false">IF(J740="","",J740/G740*100)</f>
        <v>3.09597523219814</v>
      </c>
      <c r="O740" s="5" t="n">
        <f aca="false">(H740-I740)/H740*100</f>
        <v>1.16294263687443</v>
      </c>
      <c r="P740" s="3" t="n">
        <f aca="false">IF(OR(F740="Delivered",F740="Partially Delivered"),1,0)</f>
        <v>1</v>
      </c>
      <c r="Q740" s="3" t="n">
        <f aca="false">IF(F740="Cancelled",1,0)</f>
        <v>0</v>
      </c>
      <c r="R740" s="3" t="n">
        <f aca="false">IF(K740="Yes",1,0)</f>
        <v>1</v>
      </c>
    </row>
    <row r="741" customFormat="false" ht="15" hidden="false" customHeight="false" outlineLevel="0" collapsed="false">
      <c r="A741" s="0" t="s">
        <v>1395</v>
      </c>
      <c r="B741" s="0" t="s">
        <v>26</v>
      </c>
      <c r="C741" s="2" t="s">
        <v>311</v>
      </c>
      <c r="D741" s="2" t="s">
        <v>695</v>
      </c>
      <c r="E741" s="3" t="s">
        <v>34</v>
      </c>
      <c r="F741" s="3" t="s">
        <v>29</v>
      </c>
      <c r="G741" s="0" t="n">
        <v>241</v>
      </c>
      <c r="H741" s="4" t="n">
        <v>87.42</v>
      </c>
      <c r="I741" s="4" t="n">
        <v>82.15</v>
      </c>
      <c r="K741" s="3" t="s">
        <v>24</v>
      </c>
      <c r="L741" s="3" t="n">
        <f aca="false">IF(D741="","",IF(D741-C741&lt;0,"",D741-C741))</f>
        <v>7</v>
      </c>
      <c r="M741" s="4" t="n">
        <f aca="false">G741*I741</f>
        <v>19798.15</v>
      </c>
      <c r="N741" s="5" t="str">
        <f aca="false">IF(J741="","",J741/G741*100)</f>
        <v/>
      </c>
      <c r="O741" s="5" t="n">
        <f aca="false">(H741-I741)/H741*100</f>
        <v>6.02836879432624</v>
      </c>
      <c r="P741" s="3" t="n">
        <f aca="false">IF(OR(F741="Delivered",F741="Partially Delivered"),1,0)</f>
        <v>1</v>
      </c>
      <c r="Q741" s="3" t="n">
        <f aca="false">IF(F741="Cancelled",1,0)</f>
        <v>0</v>
      </c>
      <c r="R741" s="3" t="n">
        <f aca="false">IF(K741="Yes",1,0)</f>
        <v>1</v>
      </c>
    </row>
    <row r="742" customFormat="false" ht="15" hidden="false" customHeight="false" outlineLevel="0" collapsed="false">
      <c r="A742" s="0" t="s">
        <v>1396</v>
      </c>
      <c r="B742" s="0" t="s">
        <v>31</v>
      </c>
      <c r="C742" s="2" t="s">
        <v>706</v>
      </c>
      <c r="D742" s="2" t="s">
        <v>210</v>
      </c>
      <c r="E742" s="3" t="s">
        <v>43</v>
      </c>
      <c r="F742" s="3" t="s">
        <v>29</v>
      </c>
      <c r="G742" s="0" t="n">
        <v>788</v>
      </c>
      <c r="H742" s="4" t="n">
        <v>97.3</v>
      </c>
      <c r="I742" s="4" t="n">
        <v>94.44</v>
      </c>
      <c r="J742" s="0" t="n">
        <v>32</v>
      </c>
      <c r="K742" s="3" t="s">
        <v>24</v>
      </c>
      <c r="L742" s="3" t="n">
        <f aca="false">IF(D742="","",IF(D742-C742&lt;0,"",D742-C742))</f>
        <v>10</v>
      </c>
      <c r="M742" s="4" t="n">
        <f aca="false">G742*I742</f>
        <v>74418.72</v>
      </c>
      <c r="N742" s="5" t="n">
        <f aca="false">IF(J742="","",J742/G742*100)</f>
        <v>4.06091370558376</v>
      </c>
      <c r="O742" s="5" t="n">
        <f aca="false">(H742-I742)/H742*100</f>
        <v>2.9393627954779</v>
      </c>
      <c r="P742" s="3" t="n">
        <f aca="false">IF(OR(F742="Delivered",F742="Partially Delivered"),1,0)</f>
        <v>1</v>
      </c>
      <c r="Q742" s="3" t="n">
        <f aca="false">IF(F742="Cancelled",1,0)</f>
        <v>0</v>
      </c>
      <c r="R742" s="3" t="n">
        <f aca="false">IF(K742="Yes",1,0)</f>
        <v>1</v>
      </c>
    </row>
    <row r="743" customFormat="false" ht="15" hidden="false" customHeight="false" outlineLevel="0" collapsed="false">
      <c r="A743" s="0" t="s">
        <v>1397</v>
      </c>
      <c r="B743" s="0" t="s">
        <v>31</v>
      </c>
      <c r="C743" s="2" t="s">
        <v>1398</v>
      </c>
      <c r="D743" s="2" t="s">
        <v>604</v>
      </c>
      <c r="E743" s="3" t="s">
        <v>22</v>
      </c>
      <c r="F743" s="3" t="s">
        <v>29</v>
      </c>
      <c r="G743" s="0" t="n">
        <v>1762</v>
      </c>
      <c r="H743" s="4" t="n">
        <v>74.12</v>
      </c>
      <c r="I743" s="4" t="n">
        <v>65.71</v>
      </c>
      <c r="J743" s="0" t="n">
        <v>94</v>
      </c>
      <c r="K743" s="3" t="s">
        <v>24</v>
      </c>
      <c r="L743" s="3" t="n">
        <f aca="false">IF(D743="","",IF(D743-C743&lt;0,"",D743-C743))</f>
        <v>2</v>
      </c>
      <c r="M743" s="4" t="n">
        <f aca="false">G743*I743</f>
        <v>115781.02</v>
      </c>
      <c r="N743" s="5" t="n">
        <f aca="false">IF(J743="","",J743/G743*100)</f>
        <v>5.33484676503973</v>
      </c>
      <c r="O743" s="5" t="n">
        <f aca="false">(H743-I743)/H743*100</f>
        <v>11.3464651915812</v>
      </c>
      <c r="P743" s="3" t="n">
        <f aca="false">IF(OR(F743="Delivered",F743="Partially Delivered"),1,0)</f>
        <v>1</v>
      </c>
      <c r="Q743" s="3" t="n">
        <f aca="false">IF(F743="Cancelled",1,0)</f>
        <v>0</v>
      </c>
      <c r="R743" s="3" t="n">
        <f aca="false">IF(K743="Yes",1,0)</f>
        <v>1</v>
      </c>
    </row>
    <row r="744" customFormat="false" ht="15" hidden="false" customHeight="false" outlineLevel="0" collapsed="false">
      <c r="A744" s="0" t="s">
        <v>1399</v>
      </c>
      <c r="B744" s="0" t="s">
        <v>19</v>
      </c>
      <c r="C744" s="2" t="s">
        <v>1400</v>
      </c>
      <c r="D744" s="2"/>
      <c r="E744" s="3" t="s">
        <v>43</v>
      </c>
      <c r="F744" s="3" t="s">
        <v>62</v>
      </c>
      <c r="G744" s="0" t="n">
        <v>1172</v>
      </c>
      <c r="H744" s="4" t="n">
        <v>85.76</v>
      </c>
      <c r="I744" s="4" t="n">
        <v>81.43</v>
      </c>
      <c r="J744" s="0" t="n">
        <v>25</v>
      </c>
      <c r="K744" s="3" t="s">
        <v>24</v>
      </c>
      <c r="L744" s="0" t="str">
        <f aca="false">IF(D744="","",IF(D744-C744&lt;0,"",D744-C744))</f>
        <v/>
      </c>
      <c r="M744" s="4" t="n">
        <f aca="false">G744*I744</f>
        <v>95435.96</v>
      </c>
      <c r="N744" s="5" t="n">
        <f aca="false">IF(J744="","",J744/G744*100)</f>
        <v>2.13310580204778</v>
      </c>
      <c r="O744" s="5" t="n">
        <f aca="false">(H744-I744)/H744*100</f>
        <v>5.04897388059701</v>
      </c>
      <c r="P744" s="3" t="n">
        <f aca="false">IF(OR(F744="Delivered",F744="Partially Delivered"),1,0)</f>
        <v>0</v>
      </c>
      <c r="Q744" s="3" t="n">
        <f aca="false">IF(F744="Cancelled",1,0)</f>
        <v>0</v>
      </c>
      <c r="R744" s="3" t="n">
        <f aca="false">IF(K744="Yes",1,0)</f>
        <v>1</v>
      </c>
    </row>
    <row r="745" customFormat="false" ht="15" hidden="false" customHeight="false" outlineLevel="0" collapsed="false">
      <c r="A745" s="0" t="s">
        <v>1401</v>
      </c>
      <c r="B745" s="0" t="s">
        <v>26</v>
      </c>
      <c r="C745" s="2" t="s">
        <v>568</v>
      </c>
      <c r="D745" s="2" t="s">
        <v>1402</v>
      </c>
      <c r="E745" s="3" t="s">
        <v>22</v>
      </c>
      <c r="F745" s="3" t="s">
        <v>29</v>
      </c>
      <c r="G745" s="0" t="n">
        <v>1621</v>
      </c>
      <c r="H745" s="4" t="n">
        <v>75.68</v>
      </c>
      <c r="I745" s="4" t="n">
        <v>73.78</v>
      </c>
      <c r="J745" s="0" t="n">
        <v>226</v>
      </c>
      <c r="K745" s="3" t="s">
        <v>44</v>
      </c>
      <c r="L745" s="3" t="n">
        <f aca="false">IF(D745="","",IF(D745-C745&lt;0,"",D745-C745))</f>
        <v>19</v>
      </c>
      <c r="M745" s="4" t="n">
        <f aca="false">G745*I745</f>
        <v>119597.38</v>
      </c>
      <c r="N745" s="5" t="n">
        <f aca="false">IF(J745="","",J745/G745*100)</f>
        <v>13.9420111042566</v>
      </c>
      <c r="O745" s="5" t="n">
        <f aca="false">(H745-I745)/H745*100</f>
        <v>2.51057082452432</v>
      </c>
      <c r="P745" s="3" t="n">
        <f aca="false">IF(OR(F745="Delivered",F745="Partially Delivered"),1,0)</f>
        <v>1</v>
      </c>
      <c r="Q745" s="3" t="n">
        <f aca="false">IF(F745="Cancelled",1,0)</f>
        <v>0</v>
      </c>
      <c r="R745" s="3" t="n">
        <f aca="false">IF(K745="Yes",1,0)</f>
        <v>0</v>
      </c>
    </row>
    <row r="746" customFormat="false" ht="15" hidden="false" customHeight="false" outlineLevel="0" collapsed="false">
      <c r="A746" s="0" t="s">
        <v>1403</v>
      </c>
      <c r="B746" s="0" t="s">
        <v>19</v>
      </c>
      <c r="C746" s="2" t="s">
        <v>1026</v>
      </c>
      <c r="D746" s="2" t="s">
        <v>1404</v>
      </c>
      <c r="E746" s="3" t="s">
        <v>39</v>
      </c>
      <c r="F746" s="3" t="s">
        <v>29</v>
      </c>
      <c r="G746" s="0" t="n">
        <v>1027</v>
      </c>
      <c r="H746" s="4" t="n">
        <v>73.35</v>
      </c>
      <c r="I746" s="4" t="n">
        <v>65.42</v>
      </c>
      <c r="J746" s="0" t="n">
        <v>24</v>
      </c>
      <c r="K746" s="3" t="s">
        <v>44</v>
      </c>
      <c r="L746" s="3" t="n">
        <f aca="false">IF(D746="","",IF(D746-C746&lt;0,"",D746-C746))</f>
        <v>2</v>
      </c>
      <c r="M746" s="4" t="n">
        <f aca="false">G746*I746</f>
        <v>67186.34</v>
      </c>
      <c r="N746" s="5" t="n">
        <f aca="false">IF(J746="","",J746/G746*100)</f>
        <v>2.33690360272639</v>
      </c>
      <c r="O746" s="5" t="n">
        <f aca="false">(H746-I746)/H746*100</f>
        <v>10.8111792774369</v>
      </c>
      <c r="P746" s="3" t="n">
        <f aca="false">IF(OR(F746="Delivered",F746="Partially Delivered"),1,0)</f>
        <v>1</v>
      </c>
      <c r="Q746" s="3" t="n">
        <f aca="false">IF(F746="Cancelled",1,0)</f>
        <v>0</v>
      </c>
      <c r="R746" s="3" t="n">
        <f aca="false">IF(K746="Yes",1,0)</f>
        <v>0</v>
      </c>
    </row>
    <row r="747" customFormat="false" ht="15" hidden="false" customHeight="false" outlineLevel="0" collapsed="false">
      <c r="A747" s="0" t="s">
        <v>1405</v>
      </c>
      <c r="B747" s="0" t="s">
        <v>36</v>
      </c>
      <c r="C747" s="2" t="s">
        <v>952</v>
      </c>
      <c r="D747" s="2"/>
      <c r="E747" s="3" t="s">
        <v>43</v>
      </c>
      <c r="F747" s="3" t="s">
        <v>29</v>
      </c>
      <c r="G747" s="0" t="n">
        <v>1058</v>
      </c>
      <c r="H747" s="4" t="n">
        <v>65.68</v>
      </c>
      <c r="I747" s="4" t="n">
        <v>57.21</v>
      </c>
      <c r="J747" s="0" t="n">
        <v>101</v>
      </c>
      <c r="K747" s="3" t="s">
        <v>24</v>
      </c>
      <c r="L747" s="0" t="str">
        <f aca="false">IF(D747="","",IF(D747-C747&lt;0,"",D747-C747))</f>
        <v/>
      </c>
      <c r="M747" s="4" t="n">
        <f aca="false">G747*I747</f>
        <v>60528.18</v>
      </c>
      <c r="N747" s="5" t="n">
        <f aca="false">IF(J747="","",J747/G747*100)</f>
        <v>9.54631379962193</v>
      </c>
      <c r="O747" s="5" t="n">
        <f aca="false">(H747-I747)/H747*100</f>
        <v>12.8958587088916</v>
      </c>
      <c r="P747" s="3" t="n">
        <f aca="false">IF(OR(F747="Delivered",F747="Partially Delivered"),1,0)</f>
        <v>1</v>
      </c>
      <c r="Q747" s="3" t="n">
        <f aca="false">IF(F747="Cancelled",1,0)</f>
        <v>0</v>
      </c>
      <c r="R747" s="3" t="n">
        <f aca="false">IF(K747="Yes",1,0)</f>
        <v>1</v>
      </c>
    </row>
    <row r="748" customFormat="false" ht="15" hidden="false" customHeight="false" outlineLevel="0" collapsed="false">
      <c r="A748" s="0" t="s">
        <v>1406</v>
      </c>
      <c r="B748" s="0" t="s">
        <v>36</v>
      </c>
      <c r="C748" s="2" t="s">
        <v>844</v>
      </c>
      <c r="D748" s="2" t="s">
        <v>382</v>
      </c>
      <c r="E748" s="3" t="s">
        <v>39</v>
      </c>
      <c r="F748" s="3" t="s">
        <v>29</v>
      </c>
      <c r="G748" s="0" t="n">
        <v>145</v>
      </c>
      <c r="H748" s="4" t="n">
        <v>85.52</v>
      </c>
      <c r="I748" s="4" t="n">
        <v>81.86</v>
      </c>
      <c r="J748" s="0" t="n">
        <v>11</v>
      </c>
      <c r="K748" s="3" t="s">
        <v>44</v>
      </c>
      <c r="L748" s="3" t="n">
        <f aca="false">IF(D748="","",IF(D748-C748&lt;0,"",D748-C748))</f>
        <v>6</v>
      </c>
      <c r="M748" s="4" t="n">
        <f aca="false">G748*I748</f>
        <v>11869.7</v>
      </c>
      <c r="N748" s="5" t="n">
        <f aca="false">IF(J748="","",J748/G748*100)</f>
        <v>7.58620689655172</v>
      </c>
      <c r="O748" s="5" t="n">
        <f aca="false">(H748-I748)/H748*100</f>
        <v>4.27970065481758</v>
      </c>
      <c r="P748" s="3" t="n">
        <f aca="false">IF(OR(F748="Delivered",F748="Partially Delivered"),1,0)</f>
        <v>1</v>
      </c>
      <c r="Q748" s="3" t="n">
        <f aca="false">IF(F748="Cancelled",1,0)</f>
        <v>0</v>
      </c>
      <c r="R748" s="3" t="n">
        <f aca="false">IF(K748="Yes",1,0)</f>
        <v>0</v>
      </c>
    </row>
    <row r="749" customFormat="false" ht="15" hidden="false" customHeight="false" outlineLevel="0" collapsed="false">
      <c r="A749" s="0" t="s">
        <v>1407</v>
      </c>
      <c r="B749" s="0" t="s">
        <v>46</v>
      </c>
      <c r="C749" s="2" t="s">
        <v>379</v>
      </c>
      <c r="D749" s="2"/>
      <c r="E749" s="3" t="s">
        <v>22</v>
      </c>
      <c r="F749" s="3" t="s">
        <v>29</v>
      </c>
      <c r="G749" s="0" t="n">
        <v>1737</v>
      </c>
      <c r="H749" s="4" t="n">
        <v>24.88</v>
      </c>
      <c r="I749" s="4" t="n">
        <v>24.28</v>
      </c>
      <c r="J749" s="0" t="n">
        <v>46</v>
      </c>
      <c r="K749" s="3" t="s">
        <v>24</v>
      </c>
      <c r="L749" s="0" t="str">
        <f aca="false">IF(D749="","",IF(D749-C749&lt;0,"",D749-C749))</f>
        <v/>
      </c>
      <c r="M749" s="4" t="n">
        <f aca="false">G749*I749</f>
        <v>42174.36</v>
      </c>
      <c r="N749" s="5" t="n">
        <f aca="false">IF(J749="","",J749/G749*100)</f>
        <v>2.6482440990213</v>
      </c>
      <c r="O749" s="5" t="n">
        <f aca="false">(H749-I749)/H749*100</f>
        <v>2.41157556270096</v>
      </c>
      <c r="P749" s="3" t="n">
        <f aca="false">IF(OR(F749="Delivered",F749="Partially Delivered"),1,0)</f>
        <v>1</v>
      </c>
      <c r="Q749" s="3" t="n">
        <f aca="false">IF(F749="Cancelled",1,0)</f>
        <v>0</v>
      </c>
      <c r="R749" s="3" t="n">
        <f aca="false">IF(K749="Yes",1,0)</f>
        <v>1</v>
      </c>
    </row>
    <row r="750" customFormat="false" ht="15" hidden="false" customHeight="false" outlineLevel="0" collapsed="false">
      <c r="A750" s="0" t="s">
        <v>1408</v>
      </c>
      <c r="B750" s="0" t="s">
        <v>31</v>
      </c>
      <c r="C750" s="2" t="s">
        <v>823</v>
      </c>
      <c r="D750" s="2" t="s">
        <v>405</v>
      </c>
      <c r="E750" s="3" t="s">
        <v>71</v>
      </c>
      <c r="F750" s="3" t="s">
        <v>29</v>
      </c>
      <c r="G750" s="0" t="n">
        <v>712</v>
      </c>
      <c r="H750" s="4" t="n">
        <v>92.85</v>
      </c>
      <c r="I750" s="4" t="n">
        <v>89.39</v>
      </c>
      <c r="J750" s="0" t="n">
        <v>43</v>
      </c>
      <c r="K750" s="3" t="s">
        <v>24</v>
      </c>
      <c r="L750" s="3" t="n">
        <f aca="false">IF(D750="","",IF(D750-C750&lt;0,"",D750-C750))</f>
        <v>13</v>
      </c>
      <c r="M750" s="4" t="n">
        <f aca="false">G750*I750</f>
        <v>63645.68</v>
      </c>
      <c r="N750" s="5" t="n">
        <f aca="false">IF(J750="","",J750/G750*100)</f>
        <v>6.03932584269663</v>
      </c>
      <c r="O750" s="5" t="n">
        <f aca="false">(H750-I750)/H750*100</f>
        <v>3.72644049542272</v>
      </c>
      <c r="P750" s="3" t="n">
        <f aca="false">IF(OR(F750="Delivered",F750="Partially Delivered"),1,0)</f>
        <v>1</v>
      </c>
      <c r="Q750" s="3" t="n">
        <f aca="false">IF(F750="Cancelled",1,0)</f>
        <v>0</v>
      </c>
      <c r="R750" s="3" t="n">
        <f aca="false">IF(K750="Yes",1,0)</f>
        <v>1</v>
      </c>
    </row>
    <row r="751" customFormat="false" ht="15" hidden="false" customHeight="false" outlineLevel="0" collapsed="false">
      <c r="A751" s="0" t="s">
        <v>1409</v>
      </c>
      <c r="B751" s="0" t="s">
        <v>46</v>
      </c>
      <c r="C751" s="2" t="s">
        <v>1116</v>
      </c>
      <c r="D751" s="2" t="s">
        <v>621</v>
      </c>
      <c r="E751" s="3" t="s">
        <v>71</v>
      </c>
      <c r="F751" s="3" t="s">
        <v>29</v>
      </c>
      <c r="G751" s="0" t="n">
        <v>1263</v>
      </c>
      <c r="H751" s="4" t="n">
        <v>90.24</v>
      </c>
      <c r="I751" s="4" t="n">
        <v>86.84</v>
      </c>
      <c r="J751" s="0" t="n">
        <v>28</v>
      </c>
      <c r="K751" s="3" t="s">
        <v>24</v>
      </c>
      <c r="L751" s="3" t="n">
        <f aca="false">IF(D751="","",IF(D751-C751&lt;0,"",D751-C751))</f>
        <v>6</v>
      </c>
      <c r="M751" s="4" t="n">
        <f aca="false">G751*I751</f>
        <v>109678.92</v>
      </c>
      <c r="N751" s="5" t="n">
        <f aca="false">IF(J751="","",J751/G751*100)</f>
        <v>2.21694378463975</v>
      </c>
      <c r="O751" s="5" t="n">
        <f aca="false">(H751-I751)/H751*100</f>
        <v>3.76773049645389</v>
      </c>
      <c r="P751" s="3" t="n">
        <f aca="false">IF(OR(F751="Delivered",F751="Partially Delivered"),1,0)</f>
        <v>1</v>
      </c>
      <c r="Q751" s="3" t="n">
        <f aca="false">IF(F751="Cancelled",1,0)</f>
        <v>0</v>
      </c>
      <c r="R751" s="3" t="n">
        <f aca="false">IF(K751="Yes",1,0)</f>
        <v>1</v>
      </c>
    </row>
    <row r="752" customFormat="false" ht="15" hidden="false" customHeight="false" outlineLevel="0" collapsed="false">
      <c r="A752" s="0" t="s">
        <v>1410</v>
      </c>
      <c r="B752" s="0" t="s">
        <v>26</v>
      </c>
      <c r="C752" s="2" t="s">
        <v>628</v>
      </c>
      <c r="D752" s="2"/>
      <c r="E752" s="3" t="s">
        <v>71</v>
      </c>
      <c r="F752" s="3" t="s">
        <v>29</v>
      </c>
      <c r="G752" s="0" t="n">
        <v>1809</v>
      </c>
      <c r="H752" s="4" t="n">
        <v>13.58</v>
      </c>
      <c r="I752" s="4" t="n">
        <v>12.68</v>
      </c>
      <c r="K752" s="3" t="s">
        <v>44</v>
      </c>
      <c r="L752" s="0" t="str">
        <f aca="false">IF(D752="","",IF(D752-C752&lt;0,"",D752-C752))</f>
        <v/>
      </c>
      <c r="M752" s="4" t="n">
        <f aca="false">G752*I752</f>
        <v>22938.12</v>
      </c>
      <c r="N752" s="5" t="str">
        <f aca="false">IF(J752="","",J752/G752*100)</f>
        <v/>
      </c>
      <c r="O752" s="5" t="n">
        <f aca="false">(H752-I752)/H752*100</f>
        <v>6.62739322533137</v>
      </c>
      <c r="P752" s="3" t="n">
        <f aca="false">IF(OR(F752="Delivered",F752="Partially Delivered"),1,0)</f>
        <v>1</v>
      </c>
      <c r="Q752" s="3" t="n">
        <f aca="false">IF(F752="Cancelled",1,0)</f>
        <v>0</v>
      </c>
      <c r="R752" s="3" t="n">
        <f aca="false">IF(K752="Yes",1,0)</f>
        <v>0</v>
      </c>
    </row>
    <row r="753" customFormat="false" ht="15" hidden="false" customHeight="false" outlineLevel="0" collapsed="false">
      <c r="A753" s="0" t="s">
        <v>1411</v>
      </c>
      <c r="B753" s="0" t="s">
        <v>36</v>
      </c>
      <c r="C753" s="2" t="s">
        <v>614</v>
      </c>
      <c r="D753" s="2"/>
      <c r="E753" s="3" t="s">
        <v>71</v>
      </c>
      <c r="F753" s="3" t="s">
        <v>23</v>
      </c>
      <c r="G753" s="0" t="n">
        <v>86</v>
      </c>
      <c r="H753" s="4" t="n">
        <v>93.6</v>
      </c>
      <c r="I753" s="4" t="n">
        <v>88.22</v>
      </c>
      <c r="J753" s="0" t="n">
        <v>5</v>
      </c>
      <c r="K753" s="3" t="s">
        <v>24</v>
      </c>
      <c r="L753" s="0" t="str">
        <f aca="false">IF(D753="","",IF(D753-C753&lt;0,"",D753-C753))</f>
        <v/>
      </c>
      <c r="M753" s="4" t="n">
        <f aca="false">G753*I753</f>
        <v>7586.92</v>
      </c>
      <c r="N753" s="5" t="n">
        <f aca="false">IF(J753="","",J753/G753*100)</f>
        <v>5.81395348837209</v>
      </c>
      <c r="O753" s="5" t="n">
        <f aca="false">(H753-I753)/H753*100</f>
        <v>5.74786324786324</v>
      </c>
      <c r="P753" s="3" t="n">
        <f aca="false">IF(OR(F753="Delivered",F753="Partially Delivered"),1,0)</f>
        <v>0</v>
      </c>
      <c r="Q753" s="3" t="n">
        <f aca="false">IF(F753="Cancelled",1,0)</f>
        <v>1</v>
      </c>
      <c r="R753" s="3" t="n">
        <f aca="false">IF(K753="Yes",1,0)</f>
        <v>1</v>
      </c>
    </row>
    <row r="754" customFormat="false" ht="15" hidden="false" customHeight="false" outlineLevel="0" collapsed="false">
      <c r="A754" s="0" t="s">
        <v>1412</v>
      </c>
      <c r="B754" s="0" t="s">
        <v>46</v>
      </c>
      <c r="C754" s="2" t="s">
        <v>414</v>
      </c>
      <c r="D754" s="2"/>
      <c r="E754" s="3" t="s">
        <v>34</v>
      </c>
      <c r="F754" s="3" t="s">
        <v>29</v>
      </c>
      <c r="G754" s="0" t="n">
        <v>1853</v>
      </c>
      <c r="H754" s="4" t="n">
        <v>21.92</v>
      </c>
      <c r="I754" s="4" t="n">
        <v>20.72</v>
      </c>
      <c r="K754" s="3" t="s">
        <v>24</v>
      </c>
      <c r="L754" s="0" t="str">
        <f aca="false">IF(D754="","",IF(D754-C754&lt;0,"",D754-C754))</f>
        <v/>
      </c>
      <c r="M754" s="4" t="n">
        <f aca="false">G754*I754</f>
        <v>38394.16</v>
      </c>
      <c r="N754" s="5" t="str">
        <f aca="false">IF(J754="","",J754/G754*100)</f>
        <v/>
      </c>
      <c r="O754" s="5" t="n">
        <f aca="false">(H754-I754)/H754*100</f>
        <v>5.47445255474454</v>
      </c>
      <c r="P754" s="3" t="n">
        <f aca="false">IF(OR(F754="Delivered",F754="Partially Delivered"),1,0)</f>
        <v>1</v>
      </c>
      <c r="Q754" s="3" t="n">
        <f aca="false">IF(F754="Cancelled",1,0)</f>
        <v>0</v>
      </c>
      <c r="R754" s="3" t="n">
        <f aca="false">IF(K754="Yes",1,0)</f>
        <v>1</v>
      </c>
    </row>
    <row r="755" customFormat="false" ht="15" hidden="false" customHeight="false" outlineLevel="0" collapsed="false">
      <c r="A755" s="0" t="s">
        <v>1413</v>
      </c>
      <c r="B755" s="0" t="s">
        <v>36</v>
      </c>
      <c r="C755" s="2" t="s">
        <v>527</v>
      </c>
      <c r="D755" s="2" t="s">
        <v>813</v>
      </c>
      <c r="E755" s="3" t="s">
        <v>71</v>
      </c>
      <c r="F755" s="3" t="s">
        <v>29</v>
      </c>
      <c r="G755" s="0" t="n">
        <v>1442</v>
      </c>
      <c r="H755" s="4" t="n">
        <v>43.98</v>
      </c>
      <c r="I755" s="4" t="n">
        <v>41.82</v>
      </c>
      <c r="J755" s="0" t="n">
        <v>140</v>
      </c>
      <c r="K755" s="3" t="s">
        <v>44</v>
      </c>
      <c r="L755" s="3" t="n">
        <f aca="false">IF(D755="","",IF(D755-C755&lt;0,"",D755-C755))</f>
        <v>1</v>
      </c>
      <c r="M755" s="4" t="n">
        <f aca="false">G755*I755</f>
        <v>60304.44</v>
      </c>
      <c r="N755" s="5" t="n">
        <f aca="false">IF(J755="","",J755/G755*100)</f>
        <v>9.70873786407767</v>
      </c>
      <c r="O755" s="5" t="n">
        <f aca="false">(H755-I755)/H755*100</f>
        <v>4.9113233287858</v>
      </c>
      <c r="P755" s="3" t="n">
        <f aca="false">IF(OR(F755="Delivered",F755="Partially Delivered"),1,0)</f>
        <v>1</v>
      </c>
      <c r="Q755" s="3" t="n">
        <f aca="false">IF(F755="Cancelled",1,0)</f>
        <v>0</v>
      </c>
      <c r="R755" s="3" t="n">
        <f aca="false">IF(K755="Yes",1,0)</f>
        <v>0</v>
      </c>
    </row>
    <row r="756" customFormat="false" ht="15" hidden="false" customHeight="false" outlineLevel="0" collapsed="false">
      <c r="A756" s="0" t="s">
        <v>1414</v>
      </c>
      <c r="B756" s="0" t="s">
        <v>36</v>
      </c>
      <c r="C756" s="2" t="s">
        <v>81</v>
      </c>
      <c r="D756" s="2" t="s">
        <v>289</v>
      </c>
      <c r="E756" s="3" t="s">
        <v>22</v>
      </c>
      <c r="F756" s="3" t="s">
        <v>62</v>
      </c>
      <c r="G756" s="0" t="n">
        <v>1768</v>
      </c>
      <c r="H756" s="4" t="n">
        <v>79.61</v>
      </c>
      <c r="I756" s="4" t="n">
        <v>74.97</v>
      </c>
      <c r="J756" s="0" t="n">
        <v>207</v>
      </c>
      <c r="K756" s="3" t="s">
        <v>44</v>
      </c>
      <c r="L756" s="3" t="n">
        <f aca="false">IF(D756="","",IF(D756-C756&lt;0,"",D756-C756))</f>
        <v>20</v>
      </c>
      <c r="M756" s="4" t="n">
        <f aca="false">G756*I756</f>
        <v>132546.96</v>
      </c>
      <c r="N756" s="5" t="n">
        <f aca="false">IF(J756="","",J756/G756*100)</f>
        <v>11.7081447963801</v>
      </c>
      <c r="O756" s="5" t="n">
        <f aca="false">(H756-I756)/H756*100</f>
        <v>5.82841351588997</v>
      </c>
      <c r="P756" s="3" t="n">
        <f aca="false">IF(OR(F756="Delivered",F756="Partially Delivered"),1,0)</f>
        <v>0</v>
      </c>
      <c r="Q756" s="3" t="n">
        <f aca="false">IF(F756="Cancelled",1,0)</f>
        <v>0</v>
      </c>
      <c r="R756" s="3" t="n">
        <f aca="false">IF(K756="Yes",1,0)</f>
        <v>0</v>
      </c>
    </row>
    <row r="757" customFormat="false" ht="15" hidden="false" customHeight="false" outlineLevel="0" collapsed="false">
      <c r="A757" s="0" t="s">
        <v>1415</v>
      </c>
      <c r="B757" s="0" t="s">
        <v>36</v>
      </c>
      <c r="C757" s="2" t="s">
        <v>116</v>
      </c>
      <c r="D757" s="2" t="s">
        <v>1416</v>
      </c>
      <c r="E757" s="3" t="s">
        <v>71</v>
      </c>
      <c r="F757" s="3" t="s">
        <v>58</v>
      </c>
      <c r="G757" s="0" t="n">
        <v>1598</v>
      </c>
      <c r="H757" s="4" t="n">
        <v>26.3</v>
      </c>
      <c r="I757" s="4" t="n">
        <v>26.03</v>
      </c>
      <c r="J757" s="0" t="n">
        <v>154</v>
      </c>
      <c r="K757" s="3" t="s">
        <v>44</v>
      </c>
      <c r="L757" s="3" t="n">
        <f aca="false">IF(D757="","",IF(D757-C757&lt;0,"",D757-C757))</f>
        <v>11</v>
      </c>
      <c r="M757" s="4" t="n">
        <f aca="false">G757*I757</f>
        <v>41595.94</v>
      </c>
      <c r="N757" s="5" t="n">
        <f aca="false">IF(J757="","",J757/G757*100)</f>
        <v>9.63704630788486</v>
      </c>
      <c r="O757" s="5" t="n">
        <f aca="false">(H757-I757)/H757*100</f>
        <v>1.02661596958175</v>
      </c>
      <c r="P757" s="3" t="n">
        <f aca="false">IF(OR(F757="Delivered",F757="Partially Delivered"),1,0)</f>
        <v>1</v>
      </c>
      <c r="Q757" s="3" t="n">
        <f aca="false">IF(F757="Cancelled",1,0)</f>
        <v>0</v>
      </c>
      <c r="R757" s="3" t="n">
        <f aca="false">IF(K757="Yes",1,0)</f>
        <v>0</v>
      </c>
    </row>
    <row r="758" customFormat="false" ht="15" hidden="false" customHeight="false" outlineLevel="0" collapsed="false">
      <c r="A758" s="0" t="s">
        <v>1417</v>
      </c>
      <c r="B758" s="0" t="s">
        <v>19</v>
      </c>
      <c r="C758" s="2" t="s">
        <v>744</v>
      </c>
      <c r="D758" s="2" t="s">
        <v>1418</v>
      </c>
      <c r="E758" s="3" t="s">
        <v>34</v>
      </c>
      <c r="F758" s="3" t="s">
        <v>23</v>
      </c>
      <c r="G758" s="0" t="n">
        <v>328</v>
      </c>
      <c r="H758" s="4" t="n">
        <v>93.23</v>
      </c>
      <c r="I758" s="4" t="n">
        <v>82.63</v>
      </c>
      <c r="J758" s="0" t="n">
        <v>6</v>
      </c>
      <c r="K758" s="3" t="s">
        <v>24</v>
      </c>
      <c r="L758" s="3" t="n">
        <f aca="false">IF(D758="","",IF(D758-C758&lt;0,"",D758-C758))</f>
        <v>18</v>
      </c>
      <c r="M758" s="4" t="n">
        <f aca="false">G758*I758</f>
        <v>27102.64</v>
      </c>
      <c r="N758" s="5" t="n">
        <f aca="false">IF(J758="","",J758/G758*100)</f>
        <v>1.82926829268293</v>
      </c>
      <c r="O758" s="5" t="n">
        <f aca="false">(H758-I758)/H758*100</f>
        <v>11.3697307733562</v>
      </c>
      <c r="P758" s="3" t="n">
        <f aca="false">IF(OR(F758="Delivered",F758="Partially Delivered"),1,0)</f>
        <v>0</v>
      </c>
      <c r="Q758" s="3" t="n">
        <f aca="false">IF(F758="Cancelled",1,0)</f>
        <v>1</v>
      </c>
      <c r="R758" s="3" t="n">
        <f aca="false">IF(K758="Yes",1,0)</f>
        <v>1</v>
      </c>
    </row>
    <row r="759" customFormat="false" ht="15" hidden="false" customHeight="false" outlineLevel="0" collapsed="false">
      <c r="A759" s="0" t="s">
        <v>1419</v>
      </c>
      <c r="B759" s="0" t="s">
        <v>46</v>
      </c>
      <c r="C759" s="2" t="s">
        <v>42</v>
      </c>
      <c r="D759" s="2" t="s">
        <v>818</v>
      </c>
      <c r="E759" s="3" t="s">
        <v>39</v>
      </c>
      <c r="F759" s="3" t="s">
        <v>29</v>
      </c>
      <c r="G759" s="0" t="n">
        <v>266</v>
      </c>
      <c r="H759" s="4" t="n">
        <v>88.29</v>
      </c>
      <c r="I759" s="4" t="n">
        <v>80.22</v>
      </c>
      <c r="J759" s="0" t="n">
        <v>4</v>
      </c>
      <c r="K759" s="3" t="s">
        <v>24</v>
      </c>
      <c r="L759" s="3" t="n">
        <f aca="false">IF(D759="","",IF(D759-C759&lt;0,"",D759-C759))</f>
        <v>5</v>
      </c>
      <c r="M759" s="4" t="n">
        <f aca="false">G759*I759</f>
        <v>21338.52</v>
      </c>
      <c r="N759" s="5" t="n">
        <f aca="false">IF(J759="","",J759/G759*100)</f>
        <v>1.50375939849624</v>
      </c>
      <c r="O759" s="5" t="n">
        <f aca="false">(H759-I759)/H759*100</f>
        <v>9.14033299354401</v>
      </c>
      <c r="P759" s="3" t="n">
        <f aca="false">IF(OR(F759="Delivered",F759="Partially Delivered"),1,0)</f>
        <v>1</v>
      </c>
      <c r="Q759" s="3" t="n">
        <f aca="false">IF(F759="Cancelled",1,0)</f>
        <v>0</v>
      </c>
      <c r="R759" s="3" t="n">
        <f aca="false">IF(K759="Yes",1,0)</f>
        <v>1</v>
      </c>
    </row>
    <row r="760" customFormat="false" ht="15" hidden="false" customHeight="false" outlineLevel="0" collapsed="false">
      <c r="A760" s="0" t="s">
        <v>1420</v>
      </c>
      <c r="B760" s="0" t="s">
        <v>31</v>
      </c>
      <c r="C760" s="2" t="s">
        <v>1421</v>
      </c>
      <c r="D760" s="2" t="s">
        <v>234</v>
      </c>
      <c r="E760" s="3" t="s">
        <v>43</v>
      </c>
      <c r="F760" s="3" t="s">
        <v>29</v>
      </c>
      <c r="G760" s="0" t="n">
        <v>916</v>
      </c>
      <c r="H760" s="4" t="n">
        <v>59.01</v>
      </c>
      <c r="I760" s="4" t="n">
        <v>53.37</v>
      </c>
      <c r="J760" s="0" t="n">
        <v>47</v>
      </c>
      <c r="K760" s="3" t="s">
        <v>24</v>
      </c>
      <c r="L760" s="3" t="n">
        <f aca="false">IF(D760="","",IF(D760-C760&lt;0,"",D760-C760))</f>
        <v>15</v>
      </c>
      <c r="M760" s="4" t="n">
        <f aca="false">G760*I760</f>
        <v>48886.92</v>
      </c>
      <c r="N760" s="5" t="n">
        <f aca="false">IF(J760="","",J760/G760*100)</f>
        <v>5.13100436681223</v>
      </c>
      <c r="O760" s="5" t="n">
        <f aca="false">(H760-I760)/H760*100</f>
        <v>9.55770208439248</v>
      </c>
      <c r="P760" s="3" t="n">
        <f aca="false">IF(OR(F760="Delivered",F760="Partially Delivered"),1,0)</f>
        <v>1</v>
      </c>
      <c r="Q760" s="3" t="n">
        <f aca="false">IF(F760="Cancelled",1,0)</f>
        <v>0</v>
      </c>
      <c r="R760" s="3" t="n">
        <f aca="false">IF(K760="Yes",1,0)</f>
        <v>1</v>
      </c>
    </row>
    <row r="761" customFormat="false" ht="15" hidden="false" customHeight="false" outlineLevel="0" collapsed="false">
      <c r="A761" s="0" t="s">
        <v>1422</v>
      </c>
      <c r="B761" s="0" t="s">
        <v>46</v>
      </c>
      <c r="C761" s="2" t="s">
        <v>1423</v>
      </c>
      <c r="D761" s="2" t="s">
        <v>264</v>
      </c>
      <c r="E761" s="3" t="s">
        <v>39</v>
      </c>
      <c r="F761" s="3" t="s">
        <v>23</v>
      </c>
      <c r="G761" s="0" t="n">
        <v>922</v>
      </c>
      <c r="H761" s="4" t="n">
        <v>10.84</v>
      </c>
      <c r="I761" s="4" t="n">
        <v>9.27</v>
      </c>
      <c r="J761" s="0" t="n">
        <v>29</v>
      </c>
      <c r="K761" s="3" t="s">
        <v>24</v>
      </c>
      <c r="L761" s="3" t="n">
        <f aca="false">IF(D761="","",IF(D761-C761&lt;0,"",D761-C761))</f>
        <v>4</v>
      </c>
      <c r="M761" s="4" t="n">
        <f aca="false">G761*I761</f>
        <v>8546.94</v>
      </c>
      <c r="N761" s="5" t="n">
        <f aca="false">IF(J761="","",J761/G761*100)</f>
        <v>3.14533622559653</v>
      </c>
      <c r="O761" s="5" t="n">
        <f aca="false">(H761-I761)/H761*100</f>
        <v>14.4833948339483</v>
      </c>
      <c r="P761" s="3" t="n">
        <f aca="false">IF(OR(F761="Delivered",F761="Partially Delivered"),1,0)</f>
        <v>0</v>
      </c>
      <c r="Q761" s="3" t="n">
        <f aca="false">IF(F761="Cancelled",1,0)</f>
        <v>1</v>
      </c>
      <c r="R761" s="3" t="n">
        <f aca="false">IF(K761="Yes",1,0)</f>
        <v>1</v>
      </c>
    </row>
    <row r="762" customFormat="false" ht="15" hidden="false" customHeight="false" outlineLevel="0" collapsed="false">
      <c r="A762" s="0" t="s">
        <v>1424</v>
      </c>
      <c r="B762" s="0" t="s">
        <v>31</v>
      </c>
      <c r="C762" s="2" t="s">
        <v>1081</v>
      </c>
      <c r="D762" s="2" t="s">
        <v>994</v>
      </c>
      <c r="E762" s="3" t="s">
        <v>39</v>
      </c>
      <c r="F762" s="3" t="s">
        <v>29</v>
      </c>
      <c r="G762" s="0" t="n">
        <v>1871</v>
      </c>
      <c r="H762" s="4" t="n">
        <v>39.42</v>
      </c>
      <c r="I762" s="4" t="n">
        <v>37.41</v>
      </c>
      <c r="J762" s="0" t="n">
        <v>101</v>
      </c>
      <c r="K762" s="3" t="s">
        <v>44</v>
      </c>
      <c r="L762" s="3" t="n">
        <f aca="false">IF(D762="","",IF(D762-C762&lt;0,"",D762-C762))</f>
        <v>15</v>
      </c>
      <c r="M762" s="4" t="n">
        <f aca="false">G762*I762</f>
        <v>69994.11</v>
      </c>
      <c r="N762" s="5" t="n">
        <f aca="false">IF(J762="","",J762/G762*100)</f>
        <v>5.3981827899519</v>
      </c>
      <c r="O762" s="5" t="n">
        <f aca="false">(H762-I762)/H762*100</f>
        <v>5.09893455098936</v>
      </c>
      <c r="P762" s="3" t="n">
        <f aca="false">IF(OR(F762="Delivered",F762="Partially Delivered"),1,0)</f>
        <v>1</v>
      </c>
      <c r="Q762" s="3" t="n">
        <f aca="false">IF(F762="Cancelled",1,0)</f>
        <v>0</v>
      </c>
      <c r="R762" s="3" t="n">
        <f aca="false">IF(K762="Yes",1,0)</f>
        <v>0</v>
      </c>
    </row>
    <row r="763" customFormat="false" ht="15" hidden="false" customHeight="false" outlineLevel="0" collapsed="false">
      <c r="A763" s="0" t="s">
        <v>1425</v>
      </c>
      <c r="B763" s="0" t="s">
        <v>46</v>
      </c>
      <c r="C763" s="2" t="s">
        <v>535</v>
      </c>
      <c r="D763" s="2" t="s">
        <v>536</v>
      </c>
      <c r="E763" s="3" t="s">
        <v>43</v>
      </c>
      <c r="F763" s="3" t="s">
        <v>29</v>
      </c>
      <c r="G763" s="0" t="n">
        <v>1346</v>
      </c>
      <c r="H763" s="4" t="n">
        <v>72.08</v>
      </c>
      <c r="I763" s="4" t="n">
        <v>67.04</v>
      </c>
      <c r="J763" s="0" t="n">
        <v>38</v>
      </c>
      <c r="K763" s="3" t="s">
        <v>24</v>
      </c>
      <c r="L763" s="3" t="n">
        <f aca="false">IF(D763="","",IF(D763-C763&lt;0,"",D763-C763))</f>
        <v>6</v>
      </c>
      <c r="M763" s="4" t="n">
        <f aca="false">G763*I763</f>
        <v>90235.84</v>
      </c>
      <c r="N763" s="5" t="n">
        <f aca="false">IF(J763="","",J763/G763*100)</f>
        <v>2.82317979197623</v>
      </c>
      <c r="O763" s="5" t="n">
        <f aca="false">(H763-I763)/H763*100</f>
        <v>6.99223085460598</v>
      </c>
      <c r="P763" s="3" t="n">
        <f aca="false">IF(OR(F763="Delivered",F763="Partially Delivered"),1,0)</f>
        <v>1</v>
      </c>
      <c r="Q763" s="3" t="n">
        <f aca="false">IF(F763="Cancelled",1,0)</f>
        <v>0</v>
      </c>
      <c r="R763" s="3" t="n">
        <f aca="false">IF(K763="Yes",1,0)</f>
        <v>1</v>
      </c>
    </row>
    <row r="764" customFormat="false" ht="15" hidden="false" customHeight="false" outlineLevel="0" collapsed="false">
      <c r="A764" s="0" t="s">
        <v>1426</v>
      </c>
      <c r="B764" s="0" t="s">
        <v>46</v>
      </c>
      <c r="C764" s="2" t="s">
        <v>414</v>
      </c>
      <c r="D764" s="2" t="s">
        <v>377</v>
      </c>
      <c r="E764" s="3" t="s">
        <v>71</v>
      </c>
      <c r="F764" s="3" t="s">
        <v>29</v>
      </c>
      <c r="G764" s="0" t="n">
        <v>1954</v>
      </c>
      <c r="H764" s="4" t="n">
        <v>99.78</v>
      </c>
      <c r="I764" s="4" t="n">
        <v>87.47</v>
      </c>
      <c r="J764" s="0" t="n">
        <v>57</v>
      </c>
      <c r="K764" s="3" t="s">
        <v>24</v>
      </c>
      <c r="L764" s="3" t="n">
        <f aca="false">IF(D764="","",IF(D764-C764&lt;0,"",D764-C764))</f>
        <v>11</v>
      </c>
      <c r="M764" s="4" t="n">
        <f aca="false">G764*I764</f>
        <v>170916.38</v>
      </c>
      <c r="N764" s="5" t="n">
        <f aca="false">IF(J764="","",J764/G764*100)</f>
        <v>2.91709314227226</v>
      </c>
      <c r="O764" s="5" t="n">
        <f aca="false">(H764-I764)/H764*100</f>
        <v>12.3371417117659</v>
      </c>
      <c r="P764" s="3" t="n">
        <f aca="false">IF(OR(F764="Delivered",F764="Partially Delivered"),1,0)</f>
        <v>1</v>
      </c>
      <c r="Q764" s="3" t="n">
        <f aca="false">IF(F764="Cancelled",1,0)</f>
        <v>0</v>
      </c>
      <c r="R764" s="3" t="n">
        <f aca="false">IF(K764="Yes",1,0)</f>
        <v>1</v>
      </c>
    </row>
    <row r="765" customFormat="false" ht="15" hidden="false" customHeight="false" outlineLevel="0" collapsed="false">
      <c r="A765" s="0" t="s">
        <v>1427</v>
      </c>
      <c r="B765" s="0" t="s">
        <v>36</v>
      </c>
      <c r="C765" s="2" t="s">
        <v>271</v>
      </c>
      <c r="D765" s="2" t="s">
        <v>272</v>
      </c>
      <c r="E765" s="3" t="s">
        <v>71</v>
      </c>
      <c r="F765" s="3" t="s">
        <v>29</v>
      </c>
      <c r="G765" s="0" t="n">
        <v>111</v>
      </c>
      <c r="H765" s="4" t="n">
        <v>68.53</v>
      </c>
      <c r="I765" s="4" t="n">
        <v>65.22</v>
      </c>
      <c r="J765" s="0" t="n">
        <v>11</v>
      </c>
      <c r="K765" s="3" t="s">
        <v>24</v>
      </c>
      <c r="L765" s="3" t="n">
        <f aca="false">IF(D765="","",IF(D765-C765&lt;0,"",D765-C765))</f>
        <v>19</v>
      </c>
      <c r="M765" s="4" t="n">
        <f aca="false">G765*I765</f>
        <v>7239.42</v>
      </c>
      <c r="N765" s="5" t="n">
        <f aca="false">IF(J765="","",J765/G765*100)</f>
        <v>9.90990990990991</v>
      </c>
      <c r="O765" s="5" t="n">
        <f aca="false">(H765-I765)/H765*100</f>
        <v>4.83000145921495</v>
      </c>
      <c r="P765" s="3" t="n">
        <f aca="false">IF(OR(F765="Delivered",F765="Partially Delivered"),1,0)</f>
        <v>1</v>
      </c>
      <c r="Q765" s="3" t="n">
        <f aca="false">IF(F765="Cancelled",1,0)</f>
        <v>0</v>
      </c>
      <c r="R765" s="3" t="n">
        <f aca="false">IF(K765="Yes",1,0)</f>
        <v>1</v>
      </c>
    </row>
    <row r="766" customFormat="false" ht="15" hidden="false" customHeight="false" outlineLevel="0" collapsed="false">
      <c r="A766" s="0" t="s">
        <v>1428</v>
      </c>
      <c r="B766" s="0" t="s">
        <v>31</v>
      </c>
      <c r="C766" s="2" t="s">
        <v>753</v>
      </c>
      <c r="D766" s="2" t="s">
        <v>1429</v>
      </c>
      <c r="E766" s="3" t="s">
        <v>22</v>
      </c>
      <c r="F766" s="3" t="s">
        <v>62</v>
      </c>
      <c r="G766" s="0" t="n">
        <v>645</v>
      </c>
      <c r="H766" s="4" t="n">
        <v>35.05</v>
      </c>
      <c r="I766" s="4" t="n">
        <v>30.88</v>
      </c>
      <c r="J766" s="0" t="n">
        <v>27</v>
      </c>
      <c r="K766" s="3" t="s">
        <v>24</v>
      </c>
      <c r="L766" s="3" t="n">
        <f aca="false">IF(D766="","",IF(D766-C766&lt;0,"",D766-C766))</f>
        <v>7</v>
      </c>
      <c r="M766" s="4" t="n">
        <f aca="false">G766*I766</f>
        <v>19917.6</v>
      </c>
      <c r="N766" s="5" t="n">
        <f aca="false">IF(J766="","",J766/G766*100)</f>
        <v>4.18604651162791</v>
      </c>
      <c r="O766" s="5" t="n">
        <f aca="false">(H766-I766)/H766*100</f>
        <v>11.8972895863053</v>
      </c>
      <c r="P766" s="3" t="n">
        <f aca="false">IF(OR(F766="Delivered",F766="Partially Delivered"),1,0)</f>
        <v>0</v>
      </c>
      <c r="Q766" s="3" t="n">
        <f aca="false">IF(F766="Cancelled",1,0)</f>
        <v>0</v>
      </c>
      <c r="R766" s="3" t="n">
        <f aca="false">IF(K766="Yes",1,0)</f>
        <v>1</v>
      </c>
    </row>
    <row r="767" customFormat="false" ht="15" hidden="false" customHeight="false" outlineLevel="0" collapsed="false">
      <c r="A767" s="0" t="s">
        <v>1430</v>
      </c>
      <c r="B767" s="0" t="s">
        <v>31</v>
      </c>
      <c r="C767" s="2" t="s">
        <v>79</v>
      </c>
      <c r="D767" s="2" t="s">
        <v>565</v>
      </c>
      <c r="E767" s="3" t="s">
        <v>71</v>
      </c>
      <c r="F767" s="3" t="s">
        <v>23</v>
      </c>
      <c r="G767" s="0" t="n">
        <v>1953</v>
      </c>
      <c r="H767" s="4" t="n">
        <v>68.07</v>
      </c>
      <c r="I767" s="4" t="n">
        <v>62.95</v>
      </c>
      <c r="J767" s="0" t="n">
        <v>87</v>
      </c>
      <c r="K767" s="3" t="s">
        <v>24</v>
      </c>
      <c r="L767" s="3" t="n">
        <f aca="false">IF(D767="","",IF(D767-C767&lt;0,"",D767-C767))</f>
        <v>13</v>
      </c>
      <c r="M767" s="4" t="n">
        <f aca="false">G767*I767</f>
        <v>122941.35</v>
      </c>
      <c r="N767" s="5" t="n">
        <f aca="false">IF(J767="","",J767/G767*100)</f>
        <v>4.45468509984639</v>
      </c>
      <c r="O767" s="5" t="n">
        <f aca="false">(H767-I767)/H767*100</f>
        <v>7.52166887028058</v>
      </c>
      <c r="P767" s="3" t="n">
        <f aca="false">IF(OR(F767="Delivered",F767="Partially Delivered"),1,0)</f>
        <v>0</v>
      </c>
      <c r="Q767" s="3" t="n">
        <f aca="false">IF(F767="Cancelled",1,0)</f>
        <v>1</v>
      </c>
      <c r="R767" s="3" t="n">
        <f aca="false">IF(K767="Yes",1,0)</f>
        <v>1</v>
      </c>
    </row>
    <row r="768" customFormat="false" ht="15" hidden="false" customHeight="false" outlineLevel="0" collapsed="false">
      <c r="A768" s="0" t="s">
        <v>1431</v>
      </c>
      <c r="B768" s="0" t="s">
        <v>31</v>
      </c>
      <c r="C768" s="2" t="s">
        <v>196</v>
      </c>
      <c r="D768" s="2" t="s">
        <v>784</v>
      </c>
      <c r="E768" s="3" t="s">
        <v>71</v>
      </c>
      <c r="F768" s="3" t="s">
        <v>29</v>
      </c>
      <c r="G768" s="0" t="n">
        <v>778</v>
      </c>
      <c r="H768" s="4" t="n">
        <v>64.17</v>
      </c>
      <c r="I768" s="4" t="n">
        <v>61.6</v>
      </c>
      <c r="J768" s="0" t="n">
        <v>47</v>
      </c>
      <c r="K768" s="3" t="s">
        <v>24</v>
      </c>
      <c r="L768" s="3" t="n">
        <f aca="false">IF(D768="","",IF(D768-C768&lt;0,"",D768-C768))</f>
        <v>17</v>
      </c>
      <c r="M768" s="4" t="n">
        <f aca="false">G768*I768</f>
        <v>47924.8</v>
      </c>
      <c r="N768" s="5" t="n">
        <f aca="false">IF(J768="","",J768/G768*100)</f>
        <v>6.04113110539846</v>
      </c>
      <c r="O768" s="5" t="n">
        <f aca="false">(H768-I768)/H768*100</f>
        <v>4.00498675393486</v>
      </c>
      <c r="P768" s="3" t="n">
        <f aca="false">IF(OR(F768="Delivered",F768="Partially Delivered"),1,0)</f>
        <v>1</v>
      </c>
      <c r="Q768" s="3" t="n">
        <f aca="false">IF(F768="Cancelled",1,0)</f>
        <v>0</v>
      </c>
      <c r="R768" s="3" t="n">
        <f aca="false">IF(K768="Yes",1,0)</f>
        <v>1</v>
      </c>
    </row>
    <row r="769" customFormat="false" ht="15" hidden="false" customHeight="false" outlineLevel="0" collapsed="false">
      <c r="A769" s="0" t="s">
        <v>1432</v>
      </c>
      <c r="B769" s="0" t="s">
        <v>46</v>
      </c>
      <c r="C769" s="2" t="s">
        <v>1433</v>
      </c>
      <c r="D769" s="2" t="s">
        <v>1021</v>
      </c>
      <c r="E769" s="3" t="s">
        <v>22</v>
      </c>
      <c r="F769" s="3" t="s">
        <v>29</v>
      </c>
      <c r="G769" s="0" t="n">
        <v>1415</v>
      </c>
      <c r="H769" s="4" t="n">
        <v>80.19</v>
      </c>
      <c r="I769" s="4" t="n">
        <v>78.34</v>
      </c>
      <c r="K769" s="3" t="s">
        <v>24</v>
      </c>
      <c r="L769" s="3" t="n">
        <f aca="false">IF(D769="","",IF(D769-C769&lt;0,"",D769-C769))</f>
        <v>13</v>
      </c>
      <c r="M769" s="4" t="n">
        <f aca="false">G769*I769</f>
        <v>110851.1</v>
      </c>
      <c r="N769" s="5" t="str">
        <f aca="false">IF(J769="","",J769/G769*100)</f>
        <v/>
      </c>
      <c r="O769" s="5" t="n">
        <f aca="false">(H769-I769)/H769*100</f>
        <v>2.30702082553934</v>
      </c>
      <c r="P769" s="3" t="n">
        <f aca="false">IF(OR(F769="Delivered",F769="Partially Delivered"),1,0)</f>
        <v>1</v>
      </c>
      <c r="Q769" s="3" t="n">
        <f aca="false">IF(F769="Cancelled",1,0)</f>
        <v>0</v>
      </c>
      <c r="R769" s="3" t="n">
        <f aca="false">IF(K769="Yes",1,0)</f>
        <v>1</v>
      </c>
    </row>
    <row r="770" customFormat="false" ht="15" hidden="false" customHeight="false" outlineLevel="0" collapsed="false">
      <c r="A770" s="0" t="s">
        <v>1434</v>
      </c>
      <c r="B770" s="0" t="s">
        <v>31</v>
      </c>
      <c r="C770" s="2" t="s">
        <v>547</v>
      </c>
      <c r="D770" s="2" t="s">
        <v>1429</v>
      </c>
      <c r="E770" s="3" t="s">
        <v>43</v>
      </c>
      <c r="F770" s="3" t="s">
        <v>29</v>
      </c>
      <c r="G770" s="0" t="n">
        <v>446</v>
      </c>
      <c r="H770" s="4" t="n">
        <v>20.61</v>
      </c>
      <c r="I770" s="4" t="n">
        <v>19.46</v>
      </c>
      <c r="J770" s="0" t="n">
        <v>14</v>
      </c>
      <c r="K770" s="3" t="s">
        <v>24</v>
      </c>
      <c r="L770" s="3" t="n">
        <f aca="false">IF(D770="","",IF(D770-C770&lt;0,"",D770-C770))</f>
        <v>6</v>
      </c>
      <c r="M770" s="4" t="n">
        <f aca="false">G770*I770</f>
        <v>8679.16</v>
      </c>
      <c r="N770" s="5" t="n">
        <f aca="false">IF(J770="","",J770/G770*100)</f>
        <v>3.1390134529148</v>
      </c>
      <c r="O770" s="5" t="n">
        <f aca="false">(H770-I770)/H770*100</f>
        <v>5.57981562348374</v>
      </c>
      <c r="P770" s="3" t="n">
        <f aca="false">IF(OR(F770="Delivered",F770="Partially Delivered"),1,0)</f>
        <v>1</v>
      </c>
      <c r="Q770" s="3" t="n">
        <f aca="false">IF(F770="Cancelled",1,0)</f>
        <v>0</v>
      </c>
      <c r="R770" s="3" t="n">
        <f aca="false">IF(K770="Yes",1,0)</f>
        <v>1</v>
      </c>
    </row>
    <row r="771" customFormat="false" ht="15" hidden="false" customHeight="false" outlineLevel="0" collapsed="false">
      <c r="A771" s="0" t="s">
        <v>1435</v>
      </c>
      <c r="B771" s="0" t="s">
        <v>46</v>
      </c>
      <c r="C771" s="2" t="s">
        <v>1206</v>
      </c>
      <c r="D771" s="2"/>
      <c r="E771" s="3" t="s">
        <v>22</v>
      </c>
      <c r="F771" s="3" t="s">
        <v>29</v>
      </c>
      <c r="G771" s="0" t="n">
        <v>748</v>
      </c>
      <c r="H771" s="4" t="n">
        <v>85.95</v>
      </c>
      <c r="I771" s="4" t="n">
        <v>79.16</v>
      </c>
      <c r="J771" s="0" t="n">
        <v>32</v>
      </c>
      <c r="K771" s="3" t="s">
        <v>24</v>
      </c>
      <c r="L771" s="0" t="str">
        <f aca="false">IF(D771="","",IF(D771-C771&lt;0,"",D771-C771))</f>
        <v/>
      </c>
      <c r="M771" s="4" t="n">
        <f aca="false">G771*I771</f>
        <v>59211.68</v>
      </c>
      <c r="N771" s="5" t="n">
        <f aca="false">IF(J771="","",J771/G771*100)</f>
        <v>4.27807486631016</v>
      </c>
      <c r="O771" s="5" t="n">
        <f aca="false">(H771-I771)/H771*100</f>
        <v>7.8999418266434</v>
      </c>
      <c r="P771" s="3" t="n">
        <f aca="false">IF(OR(F771="Delivered",F771="Partially Delivered"),1,0)</f>
        <v>1</v>
      </c>
      <c r="Q771" s="3" t="n">
        <f aca="false">IF(F771="Cancelled",1,0)</f>
        <v>0</v>
      </c>
      <c r="R771" s="3" t="n">
        <f aca="false">IF(K771="Yes",1,0)</f>
        <v>1</v>
      </c>
    </row>
    <row r="772" customFormat="false" ht="15" hidden="false" customHeight="false" outlineLevel="0" collapsed="false">
      <c r="A772" s="0" t="s">
        <v>1436</v>
      </c>
      <c r="B772" s="0" t="s">
        <v>19</v>
      </c>
      <c r="C772" s="2" t="s">
        <v>246</v>
      </c>
      <c r="D772" s="2" t="s">
        <v>291</v>
      </c>
      <c r="E772" s="3" t="s">
        <v>71</v>
      </c>
      <c r="F772" s="3" t="s">
        <v>62</v>
      </c>
      <c r="G772" s="0" t="n">
        <v>1092</v>
      </c>
      <c r="H772" s="4" t="n">
        <v>65.17</v>
      </c>
      <c r="I772" s="4" t="n">
        <v>63.11</v>
      </c>
      <c r="J772" s="0" t="n">
        <v>21</v>
      </c>
      <c r="K772" s="3" t="s">
        <v>24</v>
      </c>
      <c r="L772" s="3" t="n">
        <f aca="false">IF(D772="","",IF(D772-C772&lt;0,"",D772-C772))</f>
        <v>8</v>
      </c>
      <c r="M772" s="4" t="n">
        <f aca="false">G772*I772</f>
        <v>68916.12</v>
      </c>
      <c r="N772" s="5" t="n">
        <f aca="false">IF(J772="","",J772/G772*100)</f>
        <v>1.92307692307692</v>
      </c>
      <c r="O772" s="5" t="n">
        <f aca="false">(H772-I772)/H772*100</f>
        <v>3.16096363357373</v>
      </c>
      <c r="P772" s="3" t="n">
        <f aca="false">IF(OR(F772="Delivered",F772="Partially Delivered"),1,0)</f>
        <v>0</v>
      </c>
      <c r="Q772" s="3" t="n">
        <f aca="false">IF(F772="Cancelled",1,0)</f>
        <v>0</v>
      </c>
      <c r="R772" s="3" t="n">
        <f aca="false">IF(K772="Yes",1,0)</f>
        <v>1</v>
      </c>
    </row>
    <row r="773" customFormat="false" ht="15" hidden="false" customHeight="false" outlineLevel="0" collapsed="false">
      <c r="A773" s="0" t="s">
        <v>1437</v>
      </c>
      <c r="B773" s="0" t="s">
        <v>36</v>
      </c>
      <c r="C773" s="2" t="s">
        <v>1438</v>
      </c>
      <c r="D773" s="2" t="s">
        <v>152</v>
      </c>
      <c r="E773" s="3" t="s">
        <v>71</v>
      </c>
      <c r="F773" s="3" t="s">
        <v>29</v>
      </c>
      <c r="G773" s="0" t="n">
        <v>226</v>
      </c>
      <c r="H773" s="4" t="n">
        <v>102.47</v>
      </c>
      <c r="I773" s="4" t="n">
        <v>99.16</v>
      </c>
      <c r="J773" s="0" t="n">
        <v>28</v>
      </c>
      <c r="K773" s="3" t="s">
        <v>24</v>
      </c>
      <c r="L773" s="3" t="n">
        <f aca="false">IF(D773="","",IF(D773-C773&lt;0,"",D773-C773))</f>
        <v>13</v>
      </c>
      <c r="M773" s="4" t="n">
        <f aca="false">G773*I773</f>
        <v>22410.16</v>
      </c>
      <c r="N773" s="5" t="n">
        <f aca="false">IF(J773="","",J773/G773*100)</f>
        <v>12.3893805309735</v>
      </c>
      <c r="O773" s="5" t="n">
        <f aca="false">(H773-I773)/H773*100</f>
        <v>3.2302137210891</v>
      </c>
      <c r="P773" s="3" t="n">
        <f aca="false">IF(OR(F773="Delivered",F773="Partially Delivered"),1,0)</f>
        <v>1</v>
      </c>
      <c r="Q773" s="3" t="n">
        <f aca="false">IF(F773="Cancelled",1,0)</f>
        <v>0</v>
      </c>
      <c r="R773" s="3" t="n">
        <f aca="false">IF(K773="Yes",1,0)</f>
        <v>1</v>
      </c>
    </row>
    <row r="774" customFormat="false" ht="15" hidden="false" customHeight="false" outlineLevel="0" collapsed="false">
      <c r="A774" s="0" t="s">
        <v>1439</v>
      </c>
      <c r="B774" s="0" t="s">
        <v>26</v>
      </c>
      <c r="C774" s="2" t="s">
        <v>278</v>
      </c>
      <c r="D774" s="2" t="s">
        <v>1147</v>
      </c>
      <c r="E774" s="3" t="s">
        <v>71</v>
      </c>
      <c r="F774" s="3" t="s">
        <v>29</v>
      </c>
      <c r="G774" s="0" t="n">
        <v>1685</v>
      </c>
      <c r="H774" s="4" t="n">
        <v>43.42</v>
      </c>
      <c r="I774" s="4" t="n">
        <v>42.24</v>
      </c>
      <c r="J774" s="0" t="n">
        <v>262</v>
      </c>
      <c r="K774" s="3" t="s">
        <v>24</v>
      </c>
      <c r="L774" s="3" t="n">
        <f aca="false">IF(D774="","",IF(D774-C774&lt;0,"",D774-C774))</f>
        <v>9</v>
      </c>
      <c r="M774" s="4" t="n">
        <f aca="false">G774*I774</f>
        <v>71174.4</v>
      </c>
      <c r="N774" s="5" t="n">
        <f aca="false">IF(J774="","",J774/G774*100)</f>
        <v>15.5489614243323</v>
      </c>
      <c r="O774" s="5" t="n">
        <f aca="false">(H774-I774)/H774*100</f>
        <v>2.71764163979733</v>
      </c>
      <c r="P774" s="3" t="n">
        <f aca="false">IF(OR(F774="Delivered",F774="Partially Delivered"),1,0)</f>
        <v>1</v>
      </c>
      <c r="Q774" s="3" t="n">
        <f aca="false">IF(F774="Cancelled",1,0)</f>
        <v>0</v>
      </c>
      <c r="R774" s="3" t="n">
        <f aca="false">IF(K774="Yes",1,0)</f>
        <v>1</v>
      </c>
    </row>
    <row r="775" customFormat="false" ht="15" hidden="false" customHeight="false" outlineLevel="0" collapsed="false">
      <c r="A775" s="0" t="s">
        <v>1440</v>
      </c>
      <c r="B775" s="0" t="s">
        <v>19</v>
      </c>
      <c r="C775" s="2" t="s">
        <v>99</v>
      </c>
      <c r="D775" s="2"/>
      <c r="E775" s="3" t="s">
        <v>22</v>
      </c>
      <c r="F775" s="3" t="s">
        <v>29</v>
      </c>
      <c r="G775" s="0" t="n">
        <v>445</v>
      </c>
      <c r="H775" s="4" t="n">
        <v>68.94</v>
      </c>
      <c r="I775" s="4" t="n">
        <v>60.35</v>
      </c>
      <c r="J775" s="0" t="n">
        <v>7</v>
      </c>
      <c r="K775" s="3" t="s">
        <v>24</v>
      </c>
      <c r="L775" s="0" t="str">
        <f aca="false">IF(D775="","",IF(D775-C775&lt;0,"",D775-C775))</f>
        <v/>
      </c>
      <c r="M775" s="4" t="n">
        <f aca="false">G775*I775</f>
        <v>26855.75</v>
      </c>
      <c r="N775" s="5" t="n">
        <f aca="false">IF(J775="","",J775/G775*100)</f>
        <v>1.57303370786517</v>
      </c>
      <c r="O775" s="5" t="n">
        <f aca="false">(H775-I775)/H775*100</f>
        <v>12.4601102407891</v>
      </c>
      <c r="P775" s="3" t="n">
        <f aca="false">IF(OR(F775="Delivered",F775="Partially Delivered"),1,0)</f>
        <v>1</v>
      </c>
      <c r="Q775" s="3" t="n">
        <f aca="false">IF(F775="Cancelled",1,0)</f>
        <v>0</v>
      </c>
      <c r="R775" s="3" t="n">
        <f aca="false">IF(K775="Yes",1,0)</f>
        <v>1</v>
      </c>
    </row>
    <row r="776" customFormat="false" ht="15" hidden="false" customHeight="false" outlineLevel="0" collapsed="false">
      <c r="A776" s="0" t="s">
        <v>1441</v>
      </c>
      <c r="B776" s="0" t="s">
        <v>31</v>
      </c>
      <c r="C776" s="2" t="s">
        <v>695</v>
      </c>
      <c r="D776" s="2" t="s">
        <v>641</v>
      </c>
      <c r="E776" s="3" t="s">
        <v>43</v>
      </c>
      <c r="F776" s="3" t="s">
        <v>29</v>
      </c>
      <c r="G776" s="0" t="n">
        <v>494</v>
      </c>
      <c r="H776" s="4" t="n">
        <v>94.82</v>
      </c>
      <c r="I776" s="4" t="n">
        <v>81.89</v>
      </c>
      <c r="J776" s="0" t="n">
        <v>29</v>
      </c>
      <c r="K776" s="3" t="s">
        <v>24</v>
      </c>
      <c r="L776" s="3" t="n">
        <f aca="false">IF(D776="","",IF(D776-C776&lt;0,"",D776-C776))</f>
        <v>19</v>
      </c>
      <c r="M776" s="4" t="n">
        <f aca="false">G776*I776</f>
        <v>40453.66</v>
      </c>
      <c r="N776" s="5" t="n">
        <f aca="false">IF(J776="","",J776/G776*100)</f>
        <v>5.87044534412955</v>
      </c>
      <c r="O776" s="5" t="n">
        <f aca="false">(H776-I776)/H776*100</f>
        <v>13.6363636363636</v>
      </c>
      <c r="P776" s="3" t="n">
        <f aca="false">IF(OR(F776="Delivered",F776="Partially Delivered"),1,0)</f>
        <v>1</v>
      </c>
      <c r="Q776" s="3" t="n">
        <f aca="false">IF(F776="Cancelled",1,0)</f>
        <v>0</v>
      </c>
      <c r="R776" s="3" t="n">
        <f aca="false">IF(K776="Yes",1,0)</f>
        <v>1</v>
      </c>
    </row>
    <row r="777" customFormat="false" ht="15" hidden="false" customHeight="false" outlineLevel="0" collapsed="false">
      <c r="A777" s="0" t="s">
        <v>1442</v>
      </c>
      <c r="B777" s="0" t="s">
        <v>36</v>
      </c>
      <c r="C777" s="2" t="s">
        <v>798</v>
      </c>
      <c r="D777" s="2" t="s">
        <v>67</v>
      </c>
      <c r="E777" s="3" t="s">
        <v>34</v>
      </c>
      <c r="F777" s="3" t="s">
        <v>29</v>
      </c>
      <c r="G777" s="0" t="n">
        <v>1306</v>
      </c>
      <c r="H777" s="4" t="n">
        <v>21.05</v>
      </c>
      <c r="I777" s="4" t="n">
        <v>18.27</v>
      </c>
      <c r="J777" s="0" t="n">
        <v>128</v>
      </c>
      <c r="K777" s="3" t="s">
        <v>24</v>
      </c>
      <c r="L777" s="3" t="n">
        <f aca="false">IF(D777="","",IF(D777-C777&lt;0,"",D777-C777))</f>
        <v>12</v>
      </c>
      <c r="M777" s="4" t="n">
        <f aca="false">G777*I777</f>
        <v>23860.62</v>
      </c>
      <c r="N777" s="5" t="n">
        <f aca="false">IF(J777="","",J777/G777*100)</f>
        <v>9.80091883614089</v>
      </c>
      <c r="O777" s="5" t="n">
        <f aca="false">(H777-I777)/H777*100</f>
        <v>13.2066508313539</v>
      </c>
      <c r="P777" s="3" t="n">
        <f aca="false">IF(OR(F777="Delivered",F777="Partially Delivered"),1,0)</f>
        <v>1</v>
      </c>
      <c r="Q777" s="3" t="n">
        <f aca="false">IF(F777="Cancelled",1,0)</f>
        <v>0</v>
      </c>
      <c r="R777" s="3" t="n">
        <f aca="false">IF(K777="Yes",1,0)</f>
        <v>1</v>
      </c>
    </row>
    <row r="778" customFormat="false" ht="15" hidden="false" customHeight="false" outlineLevel="0" collapsed="false">
      <c r="A778" s="0" t="s">
        <v>1443</v>
      </c>
      <c r="B778" s="0" t="s">
        <v>36</v>
      </c>
      <c r="C778" s="2" t="s">
        <v>284</v>
      </c>
      <c r="D778" s="2" t="s">
        <v>1101</v>
      </c>
      <c r="E778" s="3" t="s">
        <v>22</v>
      </c>
      <c r="F778" s="3" t="s">
        <v>29</v>
      </c>
      <c r="G778" s="0" t="n">
        <v>1988</v>
      </c>
      <c r="H778" s="4" t="n">
        <v>105.2</v>
      </c>
      <c r="I778" s="4" t="n">
        <v>93.23</v>
      </c>
      <c r="J778" s="0" t="n">
        <v>187</v>
      </c>
      <c r="K778" s="3" t="s">
        <v>24</v>
      </c>
      <c r="L778" s="3" t="n">
        <f aca="false">IF(D778="","",IF(D778-C778&lt;0,"",D778-C778))</f>
        <v>2</v>
      </c>
      <c r="M778" s="4" t="n">
        <f aca="false">G778*I778</f>
        <v>185341.24</v>
      </c>
      <c r="N778" s="5" t="n">
        <f aca="false">IF(J778="","",J778/G778*100)</f>
        <v>9.40643863179075</v>
      </c>
      <c r="O778" s="5" t="n">
        <f aca="false">(H778-I778)/H778*100</f>
        <v>11.3783269961977</v>
      </c>
      <c r="P778" s="3" t="n">
        <f aca="false">IF(OR(F778="Delivered",F778="Partially Delivered"),1,0)</f>
        <v>1</v>
      </c>
      <c r="Q778" s="3" t="n">
        <f aca="false">IF(F778="Cancelled",1,0)</f>
        <v>0</v>
      </c>
      <c r="R778" s="3" t="n">
        <f aca="false">IF(K778="Yes",1,0)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32"/>
    <col collapsed="false" customWidth="true" hidden="false" outlineLevel="0" max="6" min="6" style="0" width="23"/>
    <col collapsed="false" customWidth="true" hidden="false" outlineLevel="0" max="13" min="7" style="0" width="32"/>
    <col collapsed="false" customWidth="true" hidden="false" outlineLevel="0" max="14" min="14" style="0" width="23"/>
    <col collapsed="false" customWidth="true" hidden="false" outlineLevel="0" max="15" min="15" style="0" width="32"/>
  </cols>
  <sheetData>
    <row r="1" customFormat="false" ht="17.35" hidden="false" customHeight="false" outlineLevel="0" collapsed="false">
      <c r="A1" s="6" t="s">
        <v>1444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customFormat="false" ht="15" hidden="false" customHeight="false" outlineLevel="0" collapsed="false">
      <c r="A2" s="7" t="s">
        <v>1445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4" customFormat="false" ht="15" hidden="false" customHeight="false" outlineLevel="0" collapsed="false">
      <c r="A4" s="1" t="s">
        <v>1</v>
      </c>
      <c r="B4" s="1" t="s">
        <v>1446</v>
      </c>
      <c r="C4" s="1" t="s">
        <v>1447</v>
      </c>
      <c r="D4" s="1" t="s">
        <v>1448</v>
      </c>
      <c r="E4" s="1" t="s">
        <v>1449</v>
      </c>
      <c r="F4" s="1" t="s">
        <v>1450</v>
      </c>
      <c r="G4" s="1" t="s">
        <v>1451</v>
      </c>
      <c r="H4" s="1" t="s">
        <v>1452</v>
      </c>
      <c r="I4" s="1" t="s">
        <v>1453</v>
      </c>
      <c r="J4" s="1" t="s">
        <v>1454</v>
      </c>
      <c r="K4" s="1" t="s">
        <v>1455</v>
      </c>
      <c r="L4" s="1" t="s">
        <v>1456</v>
      </c>
      <c r="M4" s="1" t="s">
        <v>1457</v>
      </c>
      <c r="N4" s="1" t="s">
        <v>1458</v>
      </c>
      <c r="O4" s="1" t="s">
        <v>1459</v>
      </c>
    </row>
    <row r="5" customFormat="false" ht="15" hidden="false" customHeight="false" outlineLevel="0" collapsed="false">
      <c r="A5" s="8" t="s">
        <v>19</v>
      </c>
      <c r="B5" s="9" t="n">
        <f aca="false">COUNTIF('Raw Data'!$B$2:$B$778,A5)</f>
        <v>141</v>
      </c>
      <c r="C5" s="10" t="n">
        <f aca="false">SUMIF('Raw Data'!$B$2:$B$778,A5,'Raw Data'!$M$2:$M$778)</f>
        <v>7839712.25</v>
      </c>
      <c r="D5" s="11" t="n">
        <f aca="false">AVERAGEIF('Raw Data'!$B$2:$B$778,A5,'Raw Data'!$L$2:$L$778)</f>
        <v>10.7413793103448</v>
      </c>
      <c r="E5" s="11" t="n">
        <f aca="false">SQRT(SUMPRODUCT(('Raw Data'!$B$2:$B$778=A5)*('Raw Data'!$L$2:$L$778&lt;&gt;"")*((IF('Raw Data'!$L$2:$L$778="",0,'Raw Data'!$L$2:$L$778)-D5)^2)) / MAX(1,SUMPRODUCT(('Raw Data'!$B$2:$B$778=A5)*('Raw Data'!$L$2:$L$778&lt;&gt;""))-1))</f>
        <v>5.48059135123395</v>
      </c>
      <c r="F5" s="11" t="n">
        <f aca="false">IF(D5=0,0,E5/D5*100)</f>
        <v>51.0231618573947</v>
      </c>
      <c r="G5" s="11" t="n">
        <f aca="false">SUMIF('Raw Data'!$B$2:$B$778,A5,'Raw Data'!$Q$2:$Q$778)/B5*100</f>
        <v>9.21985815602837</v>
      </c>
      <c r="H5" s="11" t="n">
        <f aca="false">AVERAGEIF('Raw Data'!$B$2:$B$778,A5,'Raw Data'!$N$2:$N$778)</f>
        <v>2.35900240275696</v>
      </c>
      <c r="I5" s="11" t="n">
        <f aca="false">SUMIF('Raw Data'!$B$2:$B$778,A5,'Raw Data'!$R$2:$R$778)/B5*100</f>
        <v>93.6170212765958</v>
      </c>
      <c r="J5" s="11" t="n">
        <f aca="false">AVERAGEIF('Raw Data'!$B$2:$B$778,A5,'Raw Data'!$O$2:$O$778)</f>
        <v>8.21045904672558</v>
      </c>
      <c r="K5" s="11" t="n">
        <f aca="false">(( G5-MIN($G$5:$G$9) )/MAX(0.0001,MAX($G$5:$G$9)-MIN($G$5:$G$9)) *0.5 + ( F5-MIN($F$5:$F$9) )/MAX(0.0001,MAX($F$5:$F$9)-MIN($F$5:$F$9)) *0.5) *100</f>
        <v>53.9379195804732</v>
      </c>
      <c r="L5" s="11" t="n">
        <f aca="false">(( H5-MIN($H$5:$H$9) )/MAX(0.0001,MAX($H$5:$H$9)-MIN($H$5:$H$9)) *0.6 + ( (100-I5)-MIN(100-$I$5:$I$9) )/MAX(0.0001,MAX(100-$I$5:$I$9)-MIN(100-$I$5:$I$9)) *0.4) *100</f>
        <v>0</v>
      </c>
      <c r="M5" s="11" t="n">
        <f aca="false">( C5-MIN($C$5:$C$9) )/MAX(0.0001,MAX($C$5:$C$9)-MIN($C$5:$C$9)) *100</f>
        <v>0</v>
      </c>
      <c r="N5" s="11" t="n">
        <f aca="false">K5*0.4+L5*0.3+M5*0.3</f>
        <v>21.5751678321893</v>
      </c>
      <c r="O5" s="9" t="str">
        <f aca="false">IF(N5&gt;=75,"Critical Risk",IF(N5&gt;=50,"High Risk",IF(N5&gt;=25,"Medium Risk","Low Risk")))</f>
        <v>Low Risk</v>
      </c>
    </row>
    <row r="6" customFormat="false" ht="15" hidden="false" customHeight="false" outlineLevel="0" collapsed="false">
      <c r="A6" s="8" t="s">
        <v>36</v>
      </c>
      <c r="B6" s="9" t="n">
        <f aca="false">COUNTIF('Raw Data'!$B$2:$B$778,A6)</f>
        <v>156</v>
      </c>
      <c r="C6" s="10" t="n">
        <f aca="false">SUMIF('Raw Data'!$B$2:$B$778,A6,'Raw Data'!$M$2:$M$778)</f>
        <v>9858665.9</v>
      </c>
      <c r="D6" s="11" t="n">
        <f aca="false">AVERAGEIF('Raw Data'!$B$2:$B$778,A6,'Raw Data'!$L$2:$L$778)</f>
        <v>11.2727272727273</v>
      </c>
      <c r="E6" s="11" t="n">
        <f aca="false">SQRT(SUMPRODUCT(('Raw Data'!$B$2:$B$778=A6)*('Raw Data'!$L$2:$L$778&lt;&gt;"")*((IF('Raw Data'!$L$2:$L$778="",0,'Raw Data'!$L$2:$L$778)-D6)^2)) / MAX(1,SUMPRODUCT(('Raw Data'!$B$2:$B$778=A6)*('Raw Data'!$L$2:$L$778&lt;&gt;""))-1))</f>
        <v>5.69182984782972</v>
      </c>
      <c r="F6" s="11" t="n">
        <f aca="false">IF(D6=0,0,E6/D6*100)</f>
        <v>50.492038972683</v>
      </c>
      <c r="G6" s="11" t="n">
        <f aca="false">SUMIF('Raw Data'!$B$2:$B$778,A6,'Raw Data'!$Q$2:$Q$778)/B6*100</f>
        <v>8.97435897435897</v>
      </c>
      <c r="H6" s="11" t="n">
        <f aca="false">AVERAGEIF('Raw Data'!$B$2:$B$778,A6,'Raw Data'!$N$2:$N$778)</f>
        <v>9.77638599942566</v>
      </c>
      <c r="I6" s="11" t="n">
        <f aca="false">SUMIF('Raw Data'!$B$2:$B$778,A6,'Raw Data'!$R$2:$R$778)/B6*100</f>
        <v>75.6410256410256</v>
      </c>
      <c r="J6" s="11" t="n">
        <f aca="false">AVERAGEIF('Raw Data'!$B$2:$B$778,A6,'Raw Data'!$O$2:$O$778)</f>
        <v>7.82769922479106</v>
      </c>
      <c r="K6" s="11" t="n">
        <f aca="false">(( G6-MIN($G$5:$G$9) )/MAX(0.0001,MAX($G$5:$G$9)-MIN($G$5:$G$9)) *0.5 + ( F6-MIN($F$5:$F$9) )/MAX(0.0001,MAX($F$5:$F$9)-MIN($F$5:$F$9)) *0.5) *100</f>
        <v>46.2955625990491</v>
      </c>
      <c r="L6" s="11" t="n">
        <f aca="false">(( H6-MIN($H$5:$H$9) )/MAX(0.0001,MAX($H$5:$H$9)-MIN($H$5:$H$9)) *0.6 + ( (100-I6)-MIN(100-$I$5:$I$9) )/MAX(0.0001,MAX(100-$I$5:$I$9)-MIN(100-$I$5:$I$9)) *0.4) *100</f>
        <v>36.263821790205</v>
      </c>
      <c r="M6" s="11" t="n">
        <f aca="false">( C6-MIN($C$5:$C$9) )/MAX(0.0001,MAX($C$5:$C$9)-MIN($C$5:$C$9)) *100</f>
        <v>100</v>
      </c>
      <c r="N6" s="11" t="n">
        <f aca="false">K6*0.4+L6*0.3+M6*0.3</f>
        <v>59.3973715766812</v>
      </c>
      <c r="O6" s="9" t="str">
        <f aca="false">IF(N6&gt;=75,"Critical Risk",IF(N6&gt;=50,"High Risk",IF(N6&gt;=25,"Medium Risk","Low Risk")))</f>
        <v>High Risk</v>
      </c>
    </row>
    <row r="7" customFormat="false" ht="15" hidden="false" customHeight="false" outlineLevel="0" collapsed="false">
      <c r="A7" s="8" t="s">
        <v>26</v>
      </c>
      <c r="B7" s="9" t="n">
        <f aca="false">COUNTIF('Raw Data'!$B$2:$B$778,A7)</f>
        <v>171</v>
      </c>
      <c r="C7" s="10" t="n">
        <f aca="false">SUMIF('Raw Data'!$B$2:$B$778,A7,'Raw Data'!$M$2:$M$778)</f>
        <v>9236240.47</v>
      </c>
      <c r="D7" s="11" t="n">
        <f aca="false">AVERAGEIF('Raw Data'!$B$2:$B$778,A7,'Raw Data'!$L$2:$L$778)</f>
        <v>10.8543046357616</v>
      </c>
      <c r="E7" s="11" t="n">
        <f aca="false">SQRT(SUMPRODUCT(('Raw Data'!$B$2:$B$778=A7)*('Raw Data'!$L$2:$L$778&lt;&gt;"")*((IF('Raw Data'!$L$2:$L$778="",0,'Raw Data'!$L$2:$L$778)-D7)^2)) / MAX(1,SUMPRODUCT(('Raw Data'!$B$2:$B$778=A7)*('Raw Data'!$L$2:$L$778&lt;&gt;""))-1))</f>
        <v>6.02815322852517</v>
      </c>
      <c r="F7" s="11" t="n">
        <f aca="false">IF(D7=0,0,E7/D7*100)</f>
        <v>55.5369821541977</v>
      </c>
      <c r="G7" s="11" t="n">
        <f aca="false">SUMIF('Raw Data'!$B$2:$B$778,A7,'Raw Data'!$Q$2:$Q$778)/B7*100</f>
        <v>9.35672514619883</v>
      </c>
      <c r="H7" s="11" t="n">
        <f aca="false">AVERAGEIF('Raw Data'!$B$2:$B$778,A7,'Raw Data'!$N$2:$N$778)</f>
        <v>14.6313717733877</v>
      </c>
      <c r="I7" s="11" t="n">
        <f aca="false">SUMIF('Raw Data'!$B$2:$B$778,A7,'Raw Data'!$R$2:$R$778)/B7*100</f>
        <v>60.8187134502924</v>
      </c>
      <c r="J7" s="11" t="n">
        <f aca="false">AVERAGEIF('Raw Data'!$B$2:$B$778,A7,'Raw Data'!$O$2:$O$778)</f>
        <v>7.81197692261734</v>
      </c>
      <c r="K7" s="11" t="n">
        <f aca="false">(( G7-MIN($G$5:$G$9) )/MAX(0.0001,MAX($G$5:$G$9)-MIN($G$5:$G$9)) *0.5 + ( F7-MIN($F$5:$F$9) )/MAX(0.0001,MAX($F$5:$F$9)-MIN($F$5:$F$9)) *0.5) *100</f>
        <v>100</v>
      </c>
      <c r="L7" s="11" t="n">
        <f aca="false">(( H7-MIN($H$5:$H$9) )/MAX(0.0001,MAX($H$5:$H$9)-MIN($H$5:$H$9)) *0.6 + ( (100-I7)-MIN(100-$I$5:$I$9) )/MAX(0.0001,MAX(100-$I$5:$I$9)-MIN(100-$I$5:$I$9)) *0.4) *100</f>
        <v>60</v>
      </c>
      <c r="M7" s="11" t="n">
        <f aca="false">( C7-MIN($C$5:$C$9) )/MAX(0.0001,MAX($C$5:$C$9)-MIN($C$5:$C$9)) *100</f>
        <v>69.1708905749273</v>
      </c>
      <c r="N7" s="11" t="n">
        <f aca="false">K7*0.4+L7*0.3+M7*0.3</f>
        <v>78.7512671724782</v>
      </c>
      <c r="O7" s="9" t="str">
        <f aca="false">IF(N7&gt;=75,"Critical Risk",IF(N7&gt;=50,"High Risk",IF(N7&gt;=25,"Medium Risk","Low Risk")))</f>
        <v>Critical Risk</v>
      </c>
    </row>
    <row r="8" customFormat="false" ht="15" hidden="false" customHeight="false" outlineLevel="0" collapsed="false">
      <c r="A8" s="8" t="s">
        <v>46</v>
      </c>
      <c r="B8" s="9" t="n">
        <f aca="false">COUNTIF('Raw Data'!$B$2:$B$778,A8)</f>
        <v>166</v>
      </c>
      <c r="C8" s="10" t="n">
        <f aca="false">SUMIF('Raw Data'!$B$2:$B$778,A8,'Raw Data'!$M$2:$M$778)</f>
        <v>9851156.06</v>
      </c>
      <c r="D8" s="11" t="n">
        <f aca="false">AVERAGEIF('Raw Data'!$B$2:$B$778,A8,'Raw Data'!$L$2:$L$778)</f>
        <v>10.8657718120805</v>
      </c>
      <c r="E8" s="11" t="n">
        <f aca="false">SQRT(SUMPRODUCT(('Raw Data'!$B$2:$B$778=A8)*('Raw Data'!$L$2:$L$778&lt;&gt;"")*((IF('Raw Data'!$L$2:$L$778="",0,'Raw Data'!$L$2:$L$778)-D8)^2)) / MAX(1,SUMPRODUCT(('Raw Data'!$B$2:$B$778=A8)*('Raw Data'!$L$2:$L$778&lt;&gt;""))-1))</f>
        <v>5.74651212443053</v>
      </c>
      <c r="F8" s="11" t="n">
        <f aca="false">IF(D8=0,0,E8/D8*100)</f>
        <v>52.8863685324367</v>
      </c>
      <c r="G8" s="11" t="n">
        <f aca="false">SUMIF('Raw Data'!$B$2:$B$778,A8,'Raw Data'!$Q$2:$Q$778)/B8*100</f>
        <v>8.43373493975904</v>
      </c>
      <c r="H8" s="11" t="n">
        <f aca="false">AVERAGEIF('Raw Data'!$B$2:$B$778,A8,'Raw Data'!$N$2:$N$778)</f>
        <v>3.06837326031778</v>
      </c>
      <c r="I8" s="11" t="n">
        <f aca="false">SUMIF('Raw Data'!$B$2:$B$778,A8,'Raw Data'!$R$2:$R$778)/B8*100</f>
        <v>98.1927710843374</v>
      </c>
      <c r="J8" s="11" t="n">
        <f aca="false">AVERAGEIF('Raw Data'!$B$2:$B$778,A8,'Raw Data'!$O$2:$O$778)</f>
        <v>8.04052050724539</v>
      </c>
      <c r="K8" s="11" t="n">
        <f aca="false">(( G8-MIN($G$5:$G$9) )/MAX(0.0001,MAX($G$5:$G$9)-MIN($G$5:$G$9)) *0.5 + ( F8-MIN($F$5:$F$9) )/MAX(0.0001,MAX($F$5:$F$9)-MIN($F$5:$F$9)) *0.5) *100</f>
        <v>64.787887725798</v>
      </c>
      <c r="L8" s="11" t="n">
        <f aca="false">(( H8-MIN($H$5:$H$9) )/MAX(0.0001,MAX($H$5:$H$9)-MIN($H$5:$H$9)) *0.6 + ( (100-I8)-MIN(100-$I$5:$I$9) )/MAX(0.0001,MAX(100-$I$5:$I$9)-MIN(100-$I$5:$I$9)) *0.4) *100</f>
        <v>3.46813644278879</v>
      </c>
      <c r="M8" s="11" t="n">
        <f aca="false">( C8-MIN($C$5:$C$9) )/MAX(0.0001,MAX($C$5:$C$9)-MIN($C$5:$C$9)) *100</f>
        <v>99.6280330655437</v>
      </c>
      <c r="N8" s="11" t="n">
        <f aca="false">K8*0.4+L8*0.3+M8*0.3</f>
        <v>56.8440059428189</v>
      </c>
      <c r="O8" s="9" t="str">
        <f aca="false">IF(N8&gt;=75,"Critical Risk",IF(N8&gt;=50,"High Risk",IF(N8&gt;=25,"Medium Risk","Low Risk")))</f>
        <v>High Risk</v>
      </c>
    </row>
    <row r="9" customFormat="false" ht="15" hidden="false" customHeight="false" outlineLevel="0" collapsed="false">
      <c r="A9" s="8" t="s">
        <v>31</v>
      </c>
      <c r="B9" s="9" t="n">
        <f aca="false">COUNTIF('Raw Data'!$B$2:$B$778,A9)</f>
        <v>143</v>
      </c>
      <c r="C9" s="10" t="n">
        <f aca="false">SUMIF('Raw Data'!$B$2:$B$778,A9,'Raw Data'!$M$2:$M$778)</f>
        <v>8587921.71</v>
      </c>
      <c r="D9" s="11" t="n">
        <f aca="false">AVERAGEIF('Raw Data'!$B$2:$B$778,A9,'Raw Data'!$L$2:$L$778)</f>
        <v>10.1923076923077</v>
      </c>
      <c r="E9" s="11" t="n">
        <f aca="false">SQRT(SUMPRODUCT(('Raw Data'!$B$2:$B$778=A9)*('Raw Data'!$L$2:$L$778&lt;&gt;"")*((IF('Raw Data'!$L$2:$L$778="",0,'Raw Data'!$L$2:$L$778)-D9)^2)) / MAX(1,SUMPRODUCT(('Raw Data'!$B$2:$B$778=A9)*('Raw Data'!$L$2:$L$778&lt;&gt;""))-1))</f>
        <v>5.49290755365167</v>
      </c>
      <c r="F9" s="11" t="n">
        <f aca="false">IF(D9=0,0,E9/D9*100)</f>
        <v>53.8926778848844</v>
      </c>
      <c r="G9" s="11" t="n">
        <f aca="false">SUMIF('Raw Data'!$B$2:$B$778,A9,'Raw Data'!$Q$2:$Q$778)/B9*100</f>
        <v>4.1958041958042</v>
      </c>
      <c r="H9" s="11" t="n">
        <f aca="false">AVERAGEIF('Raw Data'!$B$2:$B$778,A9,'Raw Data'!$N$2:$N$778)</f>
        <v>5.02459170029382</v>
      </c>
      <c r="I9" s="11" t="n">
        <f aca="false">SUMIF('Raw Data'!$B$2:$B$778,A9,'Raw Data'!$R$2:$R$778)/B9*100</f>
        <v>86.013986013986</v>
      </c>
      <c r="J9" s="11" t="n">
        <f aca="false">AVERAGEIF('Raw Data'!$B$2:$B$778,A9,'Raw Data'!$O$2:$O$778)</f>
        <v>7.98485623747471</v>
      </c>
      <c r="K9" s="11" t="n">
        <f aca="false">(( G9-MIN($G$5:$G$9) )/MAX(0.0001,MAX($G$5:$G$9)-MIN($G$5:$G$9)) *0.5 + ( F9-MIN($F$5:$F$9) )/MAX(0.0001,MAX($F$5:$F$9)-MIN($F$5:$F$9)) *0.5) *100</f>
        <v>33.7034411473824</v>
      </c>
      <c r="L9" s="11" t="n">
        <f aca="false">(( H9-MIN($H$5:$H$9) )/MAX(0.0001,MAX($H$5:$H$9)-MIN($H$5:$H$9)) *0.6 + ( (100-I9)-MIN(100-$I$5:$I$9) )/MAX(0.0001,MAX(100-$I$5:$I$9)-MIN(100-$I$5:$I$9)) *0.4) *100</f>
        <v>13.0321499477482</v>
      </c>
      <c r="M9" s="11" t="n">
        <f aca="false">( C9-MIN($C$5:$C$9) )/MAX(0.0001,MAX($C$5:$C$9)-MIN($C$5:$C$9)) *100</f>
        <v>37.0592687950018</v>
      </c>
      <c r="N9" s="11" t="n">
        <f aca="false">K9*0.4+L9*0.3+M9*0.3</f>
        <v>28.508802081778</v>
      </c>
      <c r="O9" s="9" t="str">
        <f aca="false">IF(N9&gt;=75,"Critical Risk",IF(N9&gt;=50,"High Risk",IF(N9&gt;=25,"Medium Risk","Low Risk")))</f>
        <v>Medium Risk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32"/>
    <col collapsed="false" customWidth="true" hidden="false" outlineLevel="0" max="4" min="4" style="0" width="24"/>
    <col collapsed="false" customWidth="true" hidden="false" outlineLevel="0" max="9" min="5" style="0" width="32"/>
  </cols>
  <sheetData>
    <row r="1" customFormat="false" ht="17.35" hidden="false" customHeight="false" outlineLevel="0" collapsed="false">
      <c r="A1" s="6" t="s">
        <v>1460</v>
      </c>
      <c r="B1" s="6"/>
      <c r="C1" s="6"/>
      <c r="D1" s="6"/>
      <c r="E1" s="6"/>
      <c r="F1" s="6"/>
      <c r="G1" s="6"/>
      <c r="H1" s="6"/>
      <c r="I1" s="6"/>
      <c r="J1" s="6"/>
    </row>
    <row r="3" customFormat="false" ht="15" hidden="false" customHeight="false" outlineLevel="0" collapsed="false">
      <c r="A3" s="1" t="s">
        <v>1461</v>
      </c>
      <c r="B3" s="1" t="s">
        <v>1446</v>
      </c>
      <c r="C3" s="1" t="s">
        <v>1447</v>
      </c>
      <c r="D3" s="1" t="s">
        <v>1462</v>
      </c>
      <c r="E3" s="1" t="s">
        <v>1448</v>
      </c>
      <c r="F3" s="1" t="s">
        <v>1451</v>
      </c>
      <c r="G3" s="1" t="s">
        <v>1452</v>
      </c>
      <c r="H3" s="1" t="s">
        <v>1453</v>
      </c>
      <c r="I3" s="1" t="s">
        <v>1454</v>
      </c>
    </row>
    <row r="4" customFormat="false" ht="15" hidden="false" customHeight="false" outlineLevel="0" collapsed="false">
      <c r="A4" s="8" t="s">
        <v>71</v>
      </c>
      <c r="B4" s="9" t="n">
        <f aca="false">COUNTIF('Raw Data'!$E$2:$E$778,A4)</f>
        <v>152</v>
      </c>
      <c r="C4" s="10" t="n">
        <f aca="false">SUMIF('Raw Data'!$E$2:$E$778,A4,'Raw Data'!$M$2:$M$778)</f>
        <v>8642550.6</v>
      </c>
      <c r="D4" s="11" t="n">
        <f aca="false">C4/SUM($C$4:$C$8)*100</f>
        <v>19.0474906997102</v>
      </c>
      <c r="E4" s="11" t="n">
        <f aca="false">AVERAGEIF('Raw Data'!$E$2:$E$778,A4,'Raw Data'!$L$2:$L$778)</f>
        <v>11.021582733813</v>
      </c>
      <c r="F4" s="11" t="n">
        <f aca="false">SUMIF('Raw Data'!$E$2:$E$778,A4,'Raw Data'!$Q$2:$Q$778)/B4*100</f>
        <v>10.5263157894737</v>
      </c>
      <c r="G4" s="11" t="n">
        <f aca="false">AVERAGEIF('Raw Data'!$E$2:$E$778,A4,'Raw Data'!$N$2:$N$778)</f>
        <v>6.89839841070081</v>
      </c>
      <c r="H4" s="11" t="n">
        <f aca="false">SUMIF('Raw Data'!$E$2:$E$778,A4,'Raw Data'!$R$2:$R$778)/B4*100</f>
        <v>85.5263157894737</v>
      </c>
      <c r="I4" s="11" t="n">
        <f aca="false">AVERAGEIF('Raw Data'!$E$2:$E$778,A4,'Raw Data'!$O$2:$O$778)</f>
        <v>7.7221241822879</v>
      </c>
    </row>
    <row r="5" customFormat="false" ht="15" hidden="false" customHeight="false" outlineLevel="0" collapsed="false">
      <c r="A5" s="8" t="s">
        <v>34</v>
      </c>
      <c r="B5" s="9" t="n">
        <f aca="false">COUNTIF('Raw Data'!$E$2:$E$778,A5)</f>
        <v>164</v>
      </c>
      <c r="C5" s="10" t="n">
        <f aca="false">SUMIF('Raw Data'!$E$2:$E$778,A5,'Raw Data'!$M$2:$M$778)</f>
        <v>10126608.86</v>
      </c>
      <c r="D5" s="11" t="n">
        <f aca="false">C5/SUM($C$4:$C$8)*100</f>
        <v>22.3182364799175</v>
      </c>
      <c r="E5" s="11" t="n">
        <f aca="false">AVERAGEIF('Raw Data'!$E$2:$E$778,A5,'Raw Data'!$L$2:$L$778)</f>
        <v>11.5973154362416</v>
      </c>
      <c r="F5" s="11" t="n">
        <f aca="false">SUMIF('Raw Data'!$E$2:$E$778,A5,'Raw Data'!$Q$2:$Q$778)/B5*100</f>
        <v>4.87804878048781</v>
      </c>
      <c r="G5" s="11" t="n">
        <f aca="false">AVERAGEIF('Raw Data'!$E$2:$E$778,A5,'Raw Data'!$N$2:$N$778)</f>
        <v>6.39560363751999</v>
      </c>
      <c r="H5" s="11" t="n">
        <f aca="false">SUMIF('Raw Data'!$E$2:$E$778,A5,'Raw Data'!$R$2:$R$778)/B5*100</f>
        <v>82.3170731707317</v>
      </c>
      <c r="I5" s="11" t="n">
        <f aca="false">AVERAGEIF('Raw Data'!$E$2:$E$778,A5,'Raw Data'!$O$2:$O$778)</f>
        <v>8.21105594134636</v>
      </c>
    </row>
    <row r="6" customFormat="false" ht="15" hidden="false" customHeight="false" outlineLevel="0" collapsed="false">
      <c r="A6" s="8" t="s">
        <v>22</v>
      </c>
      <c r="B6" s="9" t="n">
        <f aca="false">COUNTIF('Raw Data'!$E$2:$E$778,A6)</f>
        <v>174</v>
      </c>
      <c r="C6" s="10" t="n">
        <f aca="false">SUMIF('Raw Data'!$E$2:$E$778,A6,'Raw Data'!$M$2:$M$778)</f>
        <v>10007583.03</v>
      </c>
      <c r="D6" s="11" t="n">
        <f aca="false">C6/SUM($C$4:$C$8)*100</f>
        <v>22.0559130646574</v>
      </c>
      <c r="E6" s="11" t="n">
        <f aca="false">AVERAGEIF('Raw Data'!$E$2:$E$778,A6,'Raw Data'!$L$2:$L$778)</f>
        <v>10.510067114094</v>
      </c>
      <c r="F6" s="11" t="n">
        <f aca="false">SUMIF('Raw Data'!$E$2:$E$778,A6,'Raw Data'!$Q$2:$Q$778)/B6*100</f>
        <v>9.19540229885057</v>
      </c>
      <c r="G6" s="11" t="n">
        <f aca="false">AVERAGEIF('Raw Data'!$E$2:$E$778,A6,'Raw Data'!$N$2:$N$778)</f>
        <v>7.83269236593305</v>
      </c>
      <c r="H6" s="11" t="n">
        <f aca="false">SUMIF('Raw Data'!$E$2:$E$778,A6,'Raw Data'!$R$2:$R$778)/B6*100</f>
        <v>82.7586206896552</v>
      </c>
      <c r="I6" s="11" t="n">
        <f aca="false">AVERAGEIF('Raw Data'!$E$2:$E$778,A6,'Raw Data'!$O$2:$O$778)</f>
        <v>7.65857864352446</v>
      </c>
    </row>
    <row r="7" customFormat="false" ht="15" hidden="false" customHeight="false" outlineLevel="0" collapsed="false">
      <c r="A7" s="8" t="s">
        <v>39</v>
      </c>
      <c r="B7" s="9" t="n">
        <f aca="false">COUNTIF('Raw Data'!$E$2:$E$778,A7)</f>
        <v>148</v>
      </c>
      <c r="C7" s="10" t="n">
        <f aca="false">SUMIF('Raw Data'!$E$2:$E$778,A7,'Raw Data'!$M$2:$M$778)</f>
        <v>8125712.48</v>
      </c>
      <c r="D7" s="11" t="n">
        <f aca="false">C7/SUM($C$4:$C$8)*100</f>
        <v>17.9084207955137</v>
      </c>
      <c r="E7" s="11" t="n">
        <f aca="false">AVERAGEIF('Raw Data'!$E$2:$E$778,A7,'Raw Data'!$L$2:$L$778)</f>
        <v>10.4074074074074</v>
      </c>
      <c r="F7" s="11" t="n">
        <f aca="false">SUMIF('Raw Data'!$E$2:$E$778,A7,'Raw Data'!$Q$2:$Q$778)/B7*100</f>
        <v>8.10810810810811</v>
      </c>
      <c r="G7" s="11" t="n">
        <f aca="false">AVERAGEIF('Raw Data'!$E$2:$E$778,A7,'Raw Data'!$N$2:$N$778)</f>
        <v>6.28373669474746</v>
      </c>
      <c r="H7" s="11" t="n">
        <f aca="false">SUMIF('Raw Data'!$E$2:$E$778,A7,'Raw Data'!$R$2:$R$778)/B7*100</f>
        <v>79.7297297297297</v>
      </c>
      <c r="I7" s="11" t="n">
        <f aca="false">AVERAGEIF('Raw Data'!$E$2:$E$778,A7,'Raw Data'!$O$2:$O$778)</f>
        <v>8.43969882787076</v>
      </c>
    </row>
    <row r="8" customFormat="false" ht="15" hidden="false" customHeight="false" outlineLevel="0" collapsed="false">
      <c r="A8" s="8" t="s">
        <v>43</v>
      </c>
      <c r="B8" s="9" t="n">
        <f aca="false">COUNTIF('Raw Data'!$E$2:$E$778,A8)</f>
        <v>139</v>
      </c>
      <c r="C8" s="10" t="n">
        <f aca="false">SUMIF('Raw Data'!$E$2:$E$778,A8,'Raw Data'!$M$2:$M$778)</f>
        <v>8471241.42</v>
      </c>
      <c r="D8" s="11" t="n">
        <f aca="false">C8/SUM($C$4:$C$8)*100</f>
        <v>18.6699389602012</v>
      </c>
      <c r="E8" s="11" t="n">
        <f aca="false">AVERAGEIF('Raw Data'!$E$2:$E$778,A8,'Raw Data'!$L$2:$L$778)</f>
        <v>10.3418803418803</v>
      </c>
      <c r="F8" s="11" t="n">
        <f aca="false">SUMIF('Raw Data'!$E$2:$E$778,A8,'Raw Data'!$Q$2:$Q$778)/B8*100</f>
        <v>7.9136690647482</v>
      </c>
      <c r="G8" s="11" t="n">
        <f aca="false">AVERAGEIF('Raw Data'!$E$2:$E$778,A8,'Raw Data'!$N$2:$N$778)</f>
        <v>7.58107068218253</v>
      </c>
      <c r="H8" s="11" t="n">
        <f aca="false">SUMIF('Raw Data'!$E$2:$E$778,A8,'Raw Data'!$R$2:$R$778)/B8*100</f>
        <v>81.294964028777</v>
      </c>
      <c r="I8" s="11" t="n">
        <f aca="false">AVERAGEIF('Raw Data'!$E$2:$E$778,A8,'Raw Data'!$O$2:$O$778)</f>
        <v>7.83568736689354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6" t="s">
        <v>1463</v>
      </c>
      <c r="B1" s="6"/>
      <c r="C1" s="6"/>
      <c r="D1" s="6"/>
      <c r="E1" s="6"/>
      <c r="F1" s="6"/>
      <c r="G1" s="6"/>
      <c r="H1" s="6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2026-08-13T18:28:23Z</dcterms:created>
  <dc:creator>openpyxl</dc:creator>
  <dc:description/>
  <dc:language>en-US</dc:language>
  <cp:lastModifiedBy/>
  <dcterms:modified xsi:type="dcterms:W3CDTF">2026-08-13T18:28:28Z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